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MangeshStudy\Conduent\POC-II\MF2JSON-v11\integrations\mes-cmds-member-eligibility\docs\"/>
    </mc:Choice>
  </mc:AlternateContent>
  <xr:revisionPtr revIDLastSave="0" documentId="13_ncr:1_{AED7AA75-9E8F-4703-B272-7E2B62EB0A0C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Files used in workflow" sheetId="1" r:id="rId1"/>
    <sheet name="Skill.mdVsAgent.md+Reference.md" sheetId="3" r:id="rId2"/>
    <sheet name="Q&amp;A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7" i="3" l="1" a="1"/>
  <c r="B57" i="3" s="1"/>
  <c r="B60" i="3" a="1"/>
  <c r="B60" i="3" s="1"/>
  <c r="B92" i="2" a="1"/>
  <c r="B92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<sst xmlns="http://schemas.openxmlformats.org/spreadsheetml/2006/main" count="326" uniqueCount="296">
  <si>
    <t>File Name</t>
  </si>
  <si>
    <t>Purpose / Function</t>
  </si>
  <si>
    <t>Called in Workflow Stage</t>
  </si>
  <si>
    <t>Calling Prompt / Script / Application</t>
  </si>
  <si>
    <t>medicare-validation-rules/.cursor/rules/medicaid-spec-conventions.mdc</t>
  </si>
  <si>
    <r>
      <t>Always-on shared guardrails: </t>
    </r>
    <r>
      <rPr>
        <sz val="9.9"/>
        <color rgb="FFCCCCCC"/>
        <rFont val="Consolas"/>
        <family val="3"/>
      </rPr>
      <t>Medicaid_Rule</t>
    </r>
    <r>
      <rPr>
        <sz val="7"/>
        <color rgb="FFD8DEE9"/>
        <rFont val="Segoe UI"/>
        <family val="2"/>
      </rPr>
      <t> tagging, cite-never-invent, two-phase workflow</t>
    </r>
  </si>
  <si>
    <t>Pre-flight (before Turn 1)</t>
  </si>
  <si>
    <t>Cursor (auto-applied rule)</t>
  </si>
  <si>
    <t>medicare-validation-rules/AGENTS.md</t>
  </si>
  <si>
    <t>Repo-wide agent guidance for the rules library</t>
  </si>
  <si>
    <t>Pre-flight</t>
  </si>
  <si>
    <t>Cursor (auto-read)</t>
  </si>
  <si>
    <t>integrations/mes-cmds-member-eligibility/.cursor/skills/integration-spec-workflow/SKILL.md</t>
  </si>
  <si>
    <t>Operator runbook mirroring gated stages, prompts, and validators</t>
  </si>
  <si>
    <t>Pre-flight (optional)</t>
  </si>
  <si>
    <t>Human / Cursor Skill (manual invoke)</t>
  </si>
  <si>
    <t>integrations/mes-cmds-member-eligibility/README.md</t>
  </si>
  <si>
    <t>Per-integration workflow instructions, manual commands, prerequisites</t>
  </si>
  <si>
    <t>Human</t>
  </si>
  <si>
    <t>medicare-validation-rules/README.md</t>
  </si>
  <si>
    <t>Library layout, validator usage, prompt index</t>
  </si>
  <si>
    <t>integrations/mes-cmds-member-eligibility/docs/Orchestration_Implementation_Plan.md</t>
  </si>
  <si>
    <t>Gated orchestration scope and rollout plan</t>
  </si>
  <si>
    <t>integrations/mes-cmds-member-eligibility/docs/Integration_Spec_Creation_Architecture.md</t>
  </si>
  <si>
    <t>System architecture for spec creation pipeline</t>
  </si>
  <si>
    <t>integrations/mes-cmds-member-eligibility/target/MemberEligibilityVO.md</t>
  </si>
  <si>
    <t>CMdS target Java VO canonical structure; mapping target for all 113 fields</t>
  </si>
  <si>
    <t>Stage 0 — Setup</t>
  </si>
  <si>
    <r>
      <t>scripts/run-integration-spec-workflow.ps1</t>
    </r>
    <r>
      <rPr>
        <sz val="7"/>
        <color rgb="FFD8DEE9"/>
        <rFont val="Segoe UI"/>
        <family val="2"/>
      </rPr>
      <t> (existence check); re-read in Turn 1 Research; SHA-256 check in Stage 1b</t>
    </r>
  </si>
  <si>
    <t>medicare-validation-rules/rules/eligibility/data-elements.md</t>
  </si>
  <si>
    <t>T-MSIS data-element definitions; DE/VVL pointers for categorical fields</t>
  </si>
  <si>
    <r>
      <t>scripts/run-integration-spec-workflow.ps1</t>
    </r>
    <r>
      <rPr>
        <sz val="7"/>
        <color rgb="FFD8DEE9"/>
        <rFont val="Segoe UI"/>
        <family val="2"/>
      </rPr>
      <t> (existence check); Turn 1 Research prompt (</t>
    </r>
    <r>
      <rPr>
        <sz val="9.9"/>
        <color rgb="FFCCCCCC"/>
        <rFont val="Consolas"/>
        <family val="3"/>
      </rPr>
      <t>@rules/eligibility/data-elements.md</t>
    </r>
    <r>
      <rPr>
        <sz val="7"/>
        <color rgb="FFD8DEE9"/>
        <rFont val="Segoe UI"/>
        <family val="2"/>
      </rPr>
      <t>)</t>
    </r>
  </si>
  <si>
    <t>medicare-validation-rules/tools/validate_research.py</t>
  </si>
  <si>
    <t>JSON Schema + semantic gate for research YAML (DE IDs, VVL verbatim, SHA-256)</t>
  </si>
  <si>
    <t>Stage 0 — Setup; Smoke test; Stage 1b</t>
  </si>
  <si>
    <r>
      <t>run-integration-spec-workflow.ps1</t>
    </r>
    <r>
      <rPr>
        <sz val="7"/>
        <color rgb="FFD8DEE9"/>
        <rFont val="Segoe UI"/>
        <family val="2"/>
      </rPr>
      <t>; manual </t>
    </r>
    <r>
      <rPr>
        <sz val="9.9"/>
        <color rgb="FFCCCCCC"/>
        <rFont val="Consolas"/>
        <family val="3"/>
      </rPr>
      <t>python …/validate_research.py</t>
    </r>
    <r>
      <rPr>
        <sz val="7"/>
        <color rgb="FFD8DEE9"/>
        <rFont val="Segoe UI"/>
        <family val="2"/>
      </rPr>
      <t>; Research self-check</t>
    </r>
  </si>
  <si>
    <t>medicare-validation-rules/tools/validate_spec_against_research.py</t>
  </si>
  <si>
    <t>Ensures spec did not drift from research (mappings, gaps, VVL codes)</t>
  </si>
  <si>
    <t>Stage 0 — Setup; Smoke test; Stage 3b</t>
  </si>
  <si>
    <r>
      <t>run-integration-spec-workflow.ps1</t>
    </r>
    <r>
      <rPr>
        <sz val="7"/>
        <color rgb="FFD8DEE9"/>
        <rFont val="Segoe UI"/>
        <family val="2"/>
      </rPr>
      <t>; Turn 2 Writer self-check; manual CLI</t>
    </r>
  </si>
  <si>
    <t>medicare-validation-rules/tools/md_to_docx.py</t>
  </si>
  <si>
    <r>
      <t>Converts canonical spec </t>
    </r>
    <r>
      <rPr>
        <sz val="9.9"/>
        <color rgb="FFCCCCCC"/>
        <rFont val="Consolas"/>
        <family val="3"/>
      </rPr>
      <t>.md</t>
    </r>
    <r>
      <rPr>
        <sz val="7"/>
        <color rgb="FFD8DEE9"/>
        <rFont val="Segoe UI"/>
        <family val="2"/>
      </rPr>
      <t> to stakeholder </t>
    </r>
    <r>
      <rPr>
        <sz val="9.9"/>
        <color rgb="FFCCCCCC"/>
        <rFont val="Consolas"/>
        <family val="3"/>
      </rPr>
      <t>.docx</t>
    </r>
    <r>
      <rPr>
        <sz val="7"/>
        <color rgb="FFD8DEE9"/>
        <rFont val="Segoe UI"/>
        <family val="2"/>
      </rPr>
      <t> via Pandoc</t>
    </r>
  </si>
  <si>
    <t>Stage 0 — Setup; Stage 4</t>
  </si>
  <si>
    <r>
      <t>run-integration-spec-workflow.ps1</t>
    </r>
    <r>
      <rPr>
        <sz val="7"/>
        <color rgb="FFD8DEE9"/>
        <rFont val="Segoe UI"/>
        <family val="2"/>
      </rPr>
      <t>; Turn 2 Writer prompt; </t>
    </r>
    <r>
      <rPr>
        <sz val="9.9"/>
        <color rgb="FF81A1C1"/>
        <rFont val="Consolas"/>
        <family val="3"/>
      </rPr>
      <t>export-spec-docx.ps1</t>
    </r>
  </si>
  <si>
    <t>medicare-validation-rules/tests/fixtures/valid_research.yaml</t>
  </si>
  <si>
    <t>Positive fixture for validator smoke test</t>
  </si>
  <si>
    <r>
      <t>Smoke test (optional </t>
    </r>
    <r>
      <rPr>
        <sz val="9.9"/>
        <color rgb="FFCCCCCC"/>
        <rFont val="Consolas"/>
        <family val="3"/>
      </rPr>
      <t>-SmokeTest</t>
    </r>
    <r>
      <rPr>
        <sz val="7"/>
        <color rgb="FFD8DEE9"/>
        <rFont val="Segoe UI"/>
        <family val="2"/>
      </rPr>
      <t>)</t>
    </r>
  </si>
  <si>
    <r>
      <t>run-integration-spec-workflow.ps1</t>
    </r>
    <r>
      <rPr>
        <sz val="7"/>
        <color rgb="FFD8DEE9"/>
        <rFont val="Segoe UI"/>
        <family val="2"/>
      </rPr>
      <t> → </t>
    </r>
    <r>
      <rPr>
        <sz val="9.9"/>
        <color rgb="FF81A1C1"/>
        <rFont val="Consolas"/>
        <family val="3"/>
      </rPr>
      <t>validate_research.py</t>
    </r>
  </si>
  <si>
    <t>medicare-validation-rules/tests/fixtures/invalid_research.yaml</t>
  </si>
  <si>
    <t>Negative fixture; must fail validation</t>
  </si>
  <si>
    <t>Smoke test (optional)</t>
  </si>
  <si>
    <t>medicare-validation-rules/tests/fixtures/minimal_spec.md</t>
  </si>
  <si>
    <t>Minimal spec fixture for spec-vs-research drift test</t>
  </si>
  <si>
    <r>
      <t>run-integration-spec-workflow.ps1</t>
    </r>
    <r>
      <rPr>
        <sz val="7"/>
        <color rgb="FFD8DEE9"/>
        <rFont val="Segoe UI"/>
        <family val="2"/>
      </rPr>
      <t> → </t>
    </r>
    <r>
      <rPr>
        <sz val="9.9"/>
        <color rgb="FF81A1C1"/>
        <rFont val="Consolas"/>
        <family val="3"/>
      </rPr>
      <t>validate_spec_against_research.py</t>
    </r>
  </si>
  <si>
    <t>medicare-validation-rules/prompts/integration-spec-research.md</t>
  </si>
  <si>
    <t>Turn 1 procedure: read artifacts, emit research YAML only</t>
  </si>
  <si>
    <t>Turn 1 — Research</t>
  </si>
  <si>
    <r>
      <t>User chat prompt (</t>
    </r>
    <r>
      <rPr>
        <sz val="9.9"/>
        <color rgb="FFCCCCCC"/>
        <rFont val="Consolas"/>
        <family val="3"/>
      </rPr>
      <t>@prompts/integration-spec-research.md</t>
    </r>
    <r>
      <rPr>
        <sz val="7"/>
        <color rgb="FFD8DEE9"/>
        <rFont val="Segoe UI"/>
        <family val="2"/>
      </rPr>
      <t>); emitted by </t>
    </r>
    <r>
      <rPr>
        <sz val="9.9"/>
        <color rgb="FF81A1C1"/>
        <rFont val="Consolas"/>
        <family val="3"/>
      </rPr>
      <t>run-integration-spec-workflow.ps1</t>
    </r>
    <r>
      <rPr>
        <sz val="7"/>
        <color rgb="FFD8DEE9"/>
        <rFont val="Segoe UI"/>
        <family val="2"/>
      </rPr>
      <t> Stage 1</t>
    </r>
  </si>
  <si>
    <t>medicare-validation-rules/.cursor/rules/integration-spec-research.mdc</t>
  </si>
  <si>
    <t>Research phase guardrails: read-only, gaps-only, no assumptions, VVL verbatim</t>
  </si>
  <si>
    <r>
      <t>Invoked via </t>
    </r>
    <r>
      <rPr>
        <sz val="9.9"/>
        <color rgb="FF81A1C1"/>
        <rFont val="Consolas"/>
        <family val="3"/>
      </rPr>
      <t>integration-spec-research.md</t>
    </r>
  </si>
  <si>
    <t>medicare-validation-rules/MANIFEST.yaml</t>
  </si>
  <si>
    <r>
      <t>Pins T-MSIS dictionary version (</t>
    </r>
    <r>
      <rPr>
        <sz val="9.9"/>
        <color rgb="FFCCCCCC"/>
        <rFont val="Consolas"/>
        <family val="3"/>
      </rPr>
      <t>4.0.33</t>
    </r>
    <r>
      <rPr>
        <sz val="7"/>
        <color rgb="FFD8DEE9"/>
        <rFont val="Segoe UI"/>
        <family val="2"/>
      </rPr>
      <t>) and rule-set provenance</t>
    </r>
  </si>
  <si>
    <t>Turn 1 — Research; Stage 1b</t>
  </si>
  <si>
    <r>
      <t>Research prompt/self-check; </t>
    </r>
    <r>
      <rPr>
        <sz val="9.9"/>
        <color rgb="FF81A1C1"/>
        <rFont val="Consolas"/>
        <family val="3"/>
      </rPr>
      <t>validate_research.py</t>
    </r>
    <r>
      <rPr>
        <sz val="7"/>
        <color rgb="FFD8DEE9"/>
        <rFont val="Segoe UI"/>
        <family val="2"/>
      </rPr>
      <t> (version + provenance cross-check)</t>
    </r>
  </si>
  <si>
    <t>medicare-validation-rules/rules/eligibility/value-lists/README.md</t>
  </si>
  <si>
    <r>
      <t>Index/documentation for VVL CSV members under </t>
    </r>
    <r>
      <rPr>
        <sz val="9.9"/>
        <color rgb="FFCCCCCC"/>
        <rFont val="Consolas"/>
        <family val="3"/>
      </rPr>
      <t>value-lists/</t>
    </r>
  </si>
  <si>
    <t>Turn 1 — Research (optional)</t>
  </si>
  <si>
    <r>
      <t>Turn 1 Research prompt (</t>
    </r>
    <r>
      <rPr>
        <sz val="9.9"/>
        <color rgb="FFCCCCCC"/>
        <rFont val="Consolas"/>
        <family val="3"/>
      </rPr>
      <t>@rules/eligibility/value-lists/</t>
    </r>
    <r>
      <rPr>
        <sz val="7"/>
        <color rgb="FFD8DEE9"/>
        <rFont val="Segoe UI"/>
        <family val="2"/>
      </rPr>
      <t>)</t>
    </r>
  </si>
  <si>
    <t>integrations/mes-cmds-member-eligibility/research/Integration_Research_MemberEligibility.yaml</t>
  </si>
  <si>
    <t>Structured research artifact: mappings, gaps, VVL members, source checksums</t>
  </si>
  <si>
    <r>
      <t>Turn 1 — </t>
    </r>
    <r>
      <rPr>
        <sz val="7"/>
        <color rgb="FFD8DEE9"/>
        <rFont val="Segoe UI"/>
        <family val="2"/>
      </rPr>
      <t>Write</t>
    </r>
    <r>
      <rPr>
        <sz val="7"/>
        <color rgb="FFD8DEE9"/>
        <rFont val="Segoe UI"/>
        <family val="2"/>
      </rPr>
      <t>; Stage 1b — Read; Stage 2 — Read; Turn 2 — Read; Stage 3b — Read</t>
    </r>
  </si>
  <si>
    <r>
      <t>Written by</t>
    </r>
    <r>
      <rPr>
        <sz val="7"/>
        <color rgb="FFD8DEE9"/>
        <rFont val="Segoe UI"/>
        <family val="2"/>
      </rPr>
      <t> Cursor Turn 1 or </t>
    </r>
    <r>
      <rPr>
        <sz val="9.9"/>
        <color rgb="FF81A1C1"/>
        <rFont val="Consolas"/>
        <family val="3"/>
      </rPr>
      <t>generate_member_eligibility_research.py</t>
    </r>
    <r>
      <rPr>
        <sz val="7"/>
        <color rgb="FFD8DEE9"/>
        <rFont val="Segoe UI"/>
        <family val="2"/>
      </rPr>
      <t>; </t>
    </r>
    <r>
      <rPr>
        <sz val="7"/>
        <color rgb="FFD8DEE9"/>
        <rFont val="Segoe UI"/>
        <family val="2"/>
      </rPr>
      <t>read by</t>
    </r>
    <r>
      <rPr>
        <sz val="7"/>
        <color rgb="FFD8DEE9"/>
        <rFont val="Segoe UI"/>
        <family val="2"/>
      </rPr>
      <t> human HITL, Writer, </t>
    </r>
    <r>
      <rPr>
        <sz val="9.9"/>
        <color rgb="FF81A1C1"/>
        <rFont val="Consolas"/>
        <family val="3"/>
      </rPr>
      <t>validate_research.py</t>
    </r>
    <r>
      <rPr>
        <sz val="7"/>
        <color rgb="FFD8DEE9"/>
        <rFont val="Segoe UI"/>
        <family val="2"/>
      </rPr>
      <t>, </t>
    </r>
    <r>
      <rPr>
        <sz val="9.9"/>
        <color rgb="FF81A1C1"/>
        <rFont val="Consolas"/>
        <family val="3"/>
      </rPr>
      <t>validate_spec_against_research.py</t>
    </r>
  </si>
  <si>
    <t>integrations/mes-cmds-member-eligibility/scripts/generate_member_eligibility_research.py</t>
  </si>
  <si>
    <t>Optional scripted alternative to Cursor Turn 1; builds research YAML from layout + VO</t>
  </si>
  <si>
    <t>Turn 1 — Research (alternative path)</t>
  </si>
  <si>
    <r>
      <t>Human CLI (</t>
    </r>
    <r>
      <rPr>
        <sz val="9.9"/>
        <color rgb="FFCCCCCC"/>
        <rFont val="Consolas"/>
        <family val="3"/>
      </rPr>
      <t>python scripts/generate_member_eligibility_research.py</t>
    </r>
    <r>
      <rPr>
        <sz val="7"/>
        <color rgb="FFD8DEE9"/>
        <rFont val="Segoe UI"/>
        <family val="2"/>
      </rPr>
      <t>)</t>
    </r>
  </si>
  <si>
    <t>medicare-validation-rules/prompts/integration-spec-write.md</t>
  </si>
  <si>
    <t>Turn 2 procedure: transcribe research YAML to spec §1–§5, run validators, export Word</t>
  </si>
  <si>
    <t>Turn 2 — Writer</t>
  </si>
  <si>
    <r>
      <t>User chat prompt (</t>
    </r>
    <r>
      <rPr>
        <sz val="9.9"/>
        <color rgb="FFCCCCCC"/>
        <rFont val="Consolas"/>
        <family val="3"/>
      </rPr>
      <t>@prompts/integration-spec-write.md</t>
    </r>
    <r>
      <rPr>
        <sz val="7"/>
        <color rgb="FFD8DEE9"/>
        <rFont val="Segoe UI"/>
        <family val="2"/>
      </rPr>
      <t>); emitted by </t>
    </r>
    <r>
      <rPr>
        <sz val="9.9"/>
        <color rgb="FF81A1C1"/>
        <rFont val="Consolas"/>
        <family val="3"/>
      </rPr>
      <t>run-integration-spec-workflow.ps1</t>
    </r>
    <r>
      <rPr>
        <sz val="7"/>
        <color rgb="FFD8DEE9"/>
        <rFont val="Segoe UI"/>
        <family val="2"/>
      </rPr>
      <t> Stage 3</t>
    </r>
  </si>
  <si>
    <t>medicare-validation-rules/.cursor/rules/integration-spec-writer.mdc</t>
  </si>
  <si>
    <t>Writer phase guardrails: research-only input, no invented mappings/VVL/gaps</t>
  </si>
  <si>
    <r>
      <t>Invoked via </t>
    </r>
    <r>
      <rPr>
        <sz val="9.9"/>
        <color rgb="FF81A1C1"/>
        <rFont val="Consolas"/>
        <family val="3"/>
      </rPr>
      <t>integration-spec-write.md</t>
    </r>
  </si>
  <si>
    <t>integrations/mes-cmds-member-eligibility/spec/Integration_Spec_MES_to_CMdS_MemberEligibility.md</t>
  </si>
  <si>
    <t>Canonical Integration Specification (Markdown source of truth)</t>
  </si>
  <si>
    <r>
      <t>Turn 2 — </t>
    </r>
    <r>
      <rPr>
        <sz val="7"/>
        <color rgb="FFD8DEE9"/>
        <rFont val="Segoe UI"/>
        <family val="2"/>
      </rPr>
      <t>Write</t>
    </r>
    <r>
      <rPr>
        <sz val="7"/>
        <color rgb="FFD8DEE9"/>
        <rFont val="Segoe UI"/>
        <family val="2"/>
      </rPr>
      <t>; Stage 3b — Read; Stage 4 — Read</t>
    </r>
  </si>
  <si>
    <r>
      <t>Written by</t>
    </r>
    <r>
      <rPr>
        <sz val="7"/>
        <color rgb="FFD8DEE9"/>
        <rFont val="Segoe UI"/>
        <family val="2"/>
      </rPr>
      <t> Cursor Turn 2; </t>
    </r>
    <r>
      <rPr>
        <sz val="7"/>
        <color rgb="FFD8DEE9"/>
        <rFont val="Segoe UI"/>
        <family val="2"/>
      </rPr>
      <t>read by</t>
    </r>
    <r>
      <rPr>
        <sz val="7"/>
        <color rgb="FFD8DEE9"/>
        <rFont val="Segoe UI"/>
        <family val="2"/>
      </rPr>
      <t> </t>
    </r>
    <r>
      <rPr>
        <sz val="9.9"/>
        <color rgb="FF81A1C1"/>
        <rFont val="Consolas"/>
        <family val="3"/>
      </rPr>
      <t>validate_spec_against_research.py</t>
    </r>
    <r>
      <rPr>
        <sz val="7"/>
        <color rgb="FFD8DEE9"/>
        <rFont val="Segoe UI"/>
        <family val="2"/>
      </rPr>
      <t>, </t>
    </r>
    <r>
      <rPr>
        <sz val="9.9"/>
        <color rgb="FF81A1C1"/>
        <rFont val="Consolas"/>
        <family val="3"/>
      </rPr>
      <t>md_to_docx.py</t>
    </r>
  </si>
  <si>
    <t>medicare-validation-rules/prompts/integration-spec-generation.md</t>
  </si>
  <si>
    <t>Deprecated one-shot redirect to two-phase research + write prompts</t>
  </si>
  <si>
    <t>Not on critical path</t>
  </si>
  <si>
    <r>
      <t>medicare-validation-rules/README.md</t>
    </r>
    <r>
      <rPr>
        <sz val="7"/>
        <color rgb="FFD8DEE9"/>
        <rFont val="Segoe UI"/>
        <family val="2"/>
      </rPr>
      <t> (reference only)</t>
    </r>
  </si>
  <si>
    <r>
      <t>End-to-end workflow for </t>
    </r>
    <r>
      <rPr>
        <sz val="10"/>
        <rFont val="Segoe UI"/>
        <family val="2"/>
      </rPr>
      <t>Member Eligibility</t>
    </r>
    <r>
      <rPr>
        <sz val="10"/>
        <rFont val="Segoe UI"/>
        <family val="2"/>
      </rPr>
      <t>, one row per file in </t>
    </r>
    <r>
      <rPr>
        <sz val="10"/>
        <rFont val="Segoe UI"/>
        <family val="2"/>
      </rPr>
      <t>first-touch order</t>
    </r>
    <r>
      <rPr>
        <sz val="10"/>
        <rFont val="Segoe UI"/>
        <family val="2"/>
      </rPr>
      <t>. Paths are from the multi-root workspace (</t>
    </r>
    <r>
      <rPr>
        <sz val="10"/>
        <rFont val="Consolas"/>
        <family val="3"/>
      </rPr>
      <t>medicare-validation-rules</t>
    </r>
    <r>
      <rPr>
        <sz val="10"/>
        <rFont val="Segoe UI"/>
        <family val="2"/>
      </rPr>
      <t> + </t>
    </r>
    <r>
      <rPr>
        <sz val="10"/>
        <rFont val="Consolas"/>
        <family val="3"/>
      </rPr>
      <t>mes-cmds-member-eligibility</t>
    </r>
    <r>
      <rPr>
        <sz val="10"/>
        <rFont val="Segoe UI"/>
        <family val="2"/>
      </rPr>
      <t>).</t>
    </r>
  </si>
  <si>
    <t>Notes</t>
  </si>
  <si>
    <r>
      <t>Written deliverables</t>
    </r>
    <r>
      <rPr>
        <sz val="7"/>
        <rFont val="Segoe UI"/>
        <family val="2"/>
      </rPr>
      <t> in a successful run: </t>
    </r>
    <r>
      <rPr>
        <sz val="9.9"/>
        <rFont val="Consolas"/>
        <family val="3"/>
      </rPr>
      <t>Integration_Research_MemberEligibility.yaml</t>
    </r>
    <r>
      <rPr>
        <sz val="7"/>
        <rFont val="Segoe UI"/>
        <family val="2"/>
      </rPr>
      <t> → </t>
    </r>
    <r>
      <rPr>
        <sz val="9.9"/>
        <rFont val="Consolas"/>
        <family val="3"/>
      </rPr>
      <t>Integration_Spec_MES_to_CMdS_MemberEligibility.md</t>
    </r>
    <r>
      <rPr>
        <sz val="7"/>
        <rFont val="Segoe UI"/>
        <family val="2"/>
      </rPr>
      <t> (then </t>
    </r>
    <r>
      <rPr>
        <sz val="9.9"/>
        <rFont val="Consolas"/>
        <family val="3"/>
      </rPr>
      <t>.docx</t>
    </r>
    <r>
      <rPr>
        <sz val="7"/>
        <rFont val="Segoe UI"/>
        <family val="2"/>
      </rPr>
      <t> via Pandoc, not listed).</t>
    </r>
  </si>
  <si>
    <r>
      <t>Excluded</t>
    </r>
    <r>
      <rPr>
        <sz val="7"/>
        <rFont val="Segoe UI"/>
        <family val="2"/>
      </rPr>
      <t> as outside the spec-generation workflow: </t>
    </r>
    <r>
      <rPr>
        <sz val="9.9"/>
        <rFont val="Consolas"/>
        <family val="3"/>
      </rPr>
      <t>tools/xlsx_to_text.py</t>
    </r>
    <r>
      <rPr>
        <sz val="7"/>
        <rFont val="Segoe UI"/>
        <family val="2"/>
      </rPr>
      <t> (rules maintenance), </t>
    </r>
    <r>
      <rPr>
        <sz val="9.9"/>
        <rFont val="Consolas"/>
        <family val="3"/>
      </rPr>
      <t>docs/diagrams/render_diagrams_png.py</t>
    </r>
    <r>
      <rPr>
        <sz val="7"/>
        <rFont val="Segoe UI"/>
        <family val="2"/>
      </rPr>
      <t> (diagram tooling).</t>
    </r>
  </si>
  <si>
    <r>
      <t>Research also reads non-table inputs (</t>
    </r>
    <r>
      <rPr>
        <sz val="9.9"/>
        <rFont val="Consolas"/>
        <family val="3"/>
      </rPr>
      <t>.csv</t>
    </r>
    <r>
      <rPr>
        <sz val="7"/>
        <rFont val="Segoe UI"/>
        <family val="2"/>
      </rPr>
      <t>, </t>
    </r>
    <r>
      <rPr>
        <sz val="9.9"/>
        <rFont val="Consolas"/>
        <family val="3"/>
      </rPr>
      <t>.CPY</t>
    </r>
    <r>
      <rPr>
        <sz val="7"/>
        <rFont val="Segoe UI"/>
        <family val="2"/>
      </rPr>
      <t>) and VVL </t>
    </r>
    <r>
      <rPr>
        <sz val="9.9"/>
        <rFont val="Consolas"/>
        <family val="3"/>
      </rPr>
      <t>.csv</t>
    </r>
    <r>
      <rPr>
        <sz val="7"/>
        <rFont val="Segoe UI"/>
        <family val="2"/>
      </rPr>
      <t> files; the Writer phase is restricted to the research YAML plus writer prompt/rules only.</t>
    </r>
  </si>
  <si>
    <t>what is the difference between a .md file and a .mdc file?</t>
  </si>
  <si>
    <t>## `.md` — Markdown (general purpose)</t>
  </si>
  <si>
    <t>A **standard Markdown** file. It is plain text with headings, lists, tables, and links that many tools can render (GitHub, VS Code, Pandoc, etc.).</t>
  </si>
  <si>
    <t>In your repo, `.md` is used for **human-facing deliverables and documentation**, for example:</t>
  </si>
  <si>
    <t>- `spec/Integration_Spec_MES_to_CMdS_MemberEligibility.md` — integration spec (source of truth)</t>
  </si>
  <si>
    <t>- `target/MemberEligibilityVO.md` — canonical VO description</t>
  </si>
  <si>
    <t>- `prompts/integration-spec-write.md` — step-by-step procedure for the BA/agent</t>
  </si>
  <si>
    <t>- `README.md` — project overview</t>
  </si>
  <si>
    <t>Anyone with a Markdown viewer can use these; they are not Cursor-specific.</t>
  </si>
  <si>
    <t>---</t>
  </si>
  <si>
    <t>## `.mdc` — Cursor rule files (agent instructions)</t>
  </si>
  <si>
    <t>A **Cursor-specific** format: Markdown plus **YAML frontmatter** at the top. Cursor reads these from `.cursor/rules/` to steer the AI (when to apply, short description, optional globs).</t>
  </si>
  <si>
    <t>Example from your project:</t>
  </si>
  <si>
    <t>```1:8:c:\MangeshStudy\Conduent\POC-II\MF2JSON-v9\medicare-validation-rules\.cursor\rules\integration-spec-writer.mdc</t>
  </si>
  <si>
    <t>description: Writer phase — transcribe research YAML to spec prose only; validator gate before docx</t>
  </si>
  <si>
    <t>alwaysApply: false</t>
  </si>
  <si>
    <t># Integration Spec — Writer Phase</t>
  </si>
  <si>
    <t>```</t>
  </si>
  <si>
    <t>Typical frontmatter fields:</t>
  </si>
  <si>
    <t>| Field | Role |</t>
  </si>
  <si>
    <t>|--------|------|</t>
  </si>
  <si>
    <t>| `description` | Shown when you pick or @-mention the rule |</t>
  </si>
  <si>
    <t>| `alwaysApply` | If `true`, rule is injected into every chat in that workspace |</t>
  </si>
  <si>
    <t>| `globs` (optional) | Auto-attach when certain files are open |</t>
  </si>
  <si>
    <t>Body content is still Markdown, but the **purpose** is **constraints for the agent**, not a stakeholder spec.</t>
  </si>
  <si>
    <t>## How they work together in your workflow</t>
  </si>
  <si>
    <t>| | `.md` (prompt) | `.mdc` (rule) |</t>
  </si>
  <si>
    <t>|---|---|---|</t>
  </si>
  <si>
    <t>| **Location** | e.g. `prompts/` | `.cursor/rules/` |</t>
  </si>
  <si>
    <t>| **Audience** | You + agents following a procedure | Cursor Agent |</t>
  </si>
  <si>
    <t>| **Invocation** | `@prompts/integration-spec-write.md` | `@.cursor/rules/integration-spec-writer.mdc` or auto when configured |</t>
  </si>
  <si>
    <t>| **Content** | Full Turn 2 procedure (sections, deliverables, commands) | Tighter guardrails (no extra mappings, validator before docx) |</t>
  </si>
  <si>
    <t>The writer prompt even points at the rule: *“Also invoke `@.cursor/rules/integration-spec-writer.mdc`”* — procedure in `.md`, hard limits in `.mdc`.</t>
  </si>
  <si>
    <t>## Quick takeaway</t>
  </si>
  <si>
    <t xml:space="preserve">- **`.md`** = normal documentation and specs; portable everywhere.  </t>
  </si>
  <si>
    <t>- **`.mdc`** = same Markdown style, but **Cursor rule packaging** (frontmatter + rules folder) so the IDE knows **when** and **how** to apply that guidance to the agent.</t>
  </si>
  <si>
    <t>Renaming a spec to `.mdc` would not make Pandoc or GitHub treat it as a rule; putting agent instructions only in `.md` without `.cursor/rules/` means Cursor will not treat them as first-class rules unless you @-mention the file manually.</t>
  </si>
  <si>
    <t>if .mdc files are constraints for agents and .md file are just for User reading purpose, then does that mean that this application can work without the Agent.md?</t>
  </si>
  <si>
    <t>Short answer: **yes — the workflow can run without `AGENTS.md`**. That file is **guidance for Cursor agents**, not part of the executable pipeline.</t>
  </si>
  <si>
    <t>Your earlier split is only partly right:</t>
  </si>
  <si>
    <t>| Artifact | Primary role |</t>
  </si>
  <si>
    <t>|----------|----------------|</t>
  </si>
  <si>
    <t>| **`.mdc`** in `.cursor/rules/` | Agent **constraints** (when/how Cursor applies them) |</t>
  </si>
  <si>
    <t>| **`.md`** | **Mixed** — some are for people only (`README`, spec deliverables), some are **agent procedures** (`prompts/integration-spec-research.md`, `integration-spec-write.md`) |</t>
  </si>
  <si>
    <t>| **`AGENTS.md`** | **Optional repo-level index** for agents discovering the library — not a runtime dependency |</t>
  </si>
  <si>
    <t>## What actually makes the “application” work</t>
  </si>
  <si>
    <t>Here “application” means the **gated spec-generation workflow**, not a deployed service. It depends on:</t>
  </si>
  <si>
    <t>1. **Data** — `source/`, `target/`, `rules/`, value lists (Research phase).</t>
  </si>
  <si>
    <t>2. **Artifacts** — `research/*.yaml`, then `spec/*.md`.</t>
  </si>
  <si>
    <t>3. **Python validators** — `validate_research.py`, `validate_spec_against_research.py`.</t>
  </si>
  <si>
    <t>4. **Word export** — `md_to_docx.py` + Pandoc.</t>
  </si>
  <si>
    <t>5. **Instructions** — from *somewhere*: `@prompts/...`, `@.cursor/rules/...mdc`, README, or a human BA following the same steps.</t>
  </si>
  <si>
    <t>None of those **require** `AGENTS.md`. A human can follow `README.md` + run the Python commands; an agent can follow `@prompts/integration-spec-write.md` and `@.cursor/rules/integration-spec-writer.mdc` without ever opening `AGENTS.md`.</t>
  </si>
  <si>
    <t>## What `AGENTS.md` is for</t>
  </si>
  <si>
    <t>`AGENTS.md` in `medicare-validation-rules` is a **single onboarding doc** for agents (and humans) in that repo:</t>
  </si>
  <si>
    <t xml:space="preserve">- Operating rules (cite never invent, GAP/ASM, MANIFEST version, validators)  </t>
  </si>
  <si>
    <t xml:space="preserve">- Pointers to prompts and validators  </t>
  </si>
  <si>
    <t>It **overlaps** with:</t>
  </si>
  <si>
    <t xml:space="preserve">- `README.md` (human-oriented, similar workflow text)  </t>
  </si>
  <si>
    <t xml:space="preserve">- `prompts/*.md` (full procedures)  </t>
  </si>
  <si>
    <t>- `.cursor/rules/*.mdc` (hard guardrails)</t>
  </si>
  <si>
    <t>So it is **convenience and consistency**, not a load-bearing module.</t>
  </si>
  <si>
    <t>## Without `AGENTS.md`, what you still need</t>
  </si>
  <si>
    <t>| Scenario | Works? |</t>
  </si>
  <si>
    <t>|----------|--------|</t>
  </si>
  <si>
    <t>| Human BA reads README, runs validators, edits YAML/spec by hand | Yes |</t>
  </si>
  <si>
    <t>| Cursor agent with `@prompts/...` + `@.cursor/rules/...` | Yes |</t>
  </si>
  <si>
    <t>| Cursor with **no** prompts, rules, or AGENTS.md — agent improvises | Risky; may violate cite-never-invent / skip validators |</t>
  </si>
  <si>
    <t>| Fully automated app with **zero** Cursor and **zero** docs | Only if you reimplement the same logic in code/CI |</t>
  </si>
  <si>
    <t>## Clarification on `.md` “for users only”</t>
  </si>
  <si>
    <t>Several `.md` files are **not** just for reading:</t>
  </si>
  <si>
    <t>- **`prompts/*.md`** — explicit agent runbooks (what you paste into chat with `@`).</t>
  </si>
  <si>
    <t>- **`spec/*.md`** — stakeholder doc **and** input to `validate_spec_against_research.py`.</t>
  </si>
  <si>
    <t>- **`target/MemberEligibilityVO.md`** — read by Research agents as a source artifact.</t>
  </si>
  <si>
    <t>So `.md` is not the opposite of agent-facing; **`.mdc` is the Cursor-specific rule layer**, while **`.md` is the general format** used for both humans and agents.</t>
  </si>
  <si>
    <t>## Practical recommendation</t>
  </si>
  <si>
    <t xml:space="preserve">- **Keep `AGENTS.md`** if you want agents opening the rules repo to get context without you @-mentioning five files.  </t>
  </si>
  <si>
    <t>- **Remove it** and you do not break validators or spec output — as long as README + prompts + `.mdc` (or equivalent discipline) stay in place.</t>
  </si>
  <si>
    <t>**Bottom line:** `AGENTS.md` is optional documentation for agent behavior. The workflow’s “engine” is **artifacts + Python tools + explicit prompts/rules**, not `AGENTS.md` itself.</t>
  </si>
  <si>
    <t>which other .md files has context and what are those used for?</t>
  </si>
  <si>
    <t>Here is an inventory of **`.md` files with real workflow context** in your two workspace folders, grouped by role. (This excludes `.mdc` Cursor rules and binary-derived CSVs.)</t>
  </si>
  <si>
    <t>## Per-integration project (`mes-cmds-member-eligibility`)</t>
  </si>
  <si>
    <t>| File | Who uses it | Purpose |</t>
  </si>
  <si>
    <t>|------|-------------|---------|</t>
  </si>
  <si>
    <t>| **`README.md`** | Humans (primary); agents optionally | Runbook for this flow: folder layout, Turn 1/2 prompts to paste, validator commands, Pandoc export. Entry point for BAs on Member Eligibility. |</t>
  </si>
  <si>
    <t>| **`target/MemberEligibilityVO.md`** | **Research agent (Turn 1)**; humans reviewing mappings | Canonical description of the CMdS Java VO (properties, `@JsonFormat`, `@Size`, patterns). Research cites `target_ref` lines here; Writer does **not** re-read it if you follow “research YAML only.” |</t>
  </si>
  <si>
    <t>| **`spec/Integration_Spec_MES_to_CMdS_MemberEligibility.md`** | Humans (stakeholder review); **validators**; Writer output | Generated integration spec (§1–§4). Source of truth for prose; fed to `validate_spec_against_research.py` and `md_to_docx.py`. |</t>
  </si>
  <si>
    <t>| **`docs/Integration_Spec_Creation_Architecture.md`** | Humans (leads, architects); optional agent context | **How the system is designed** — two-phase flow, repo roles, diagrams, why Research vs Writer are split. Not an agent runbook. |</t>
  </si>
  <si>
    <t>| **`docs/Orchestration_Implementation_Plan.md`** | Humans (rollout/ops); optional agent context | **How to operate and implement** the gated pipeline (approvals, future PowerShell orchestrator, phased rollout). Companion to the architecture doc. |</t>
  </si>
  <si>
    <t>There is no `AGENTS.md` in the integration project; that lives only in the shared library.</t>
  </si>
  <si>
    <t>## Shared library (`medicare-validation-rules`)</t>
  </si>
  <si>
    <t>### Onboarding &amp; procedures</t>
  </si>
  <si>
    <t>| **`README.md`** | Humans (primary) | Library overview: text-first rules, layout, validators, how to open multi-root workspace, links to prompts. |</t>
  </si>
  <si>
    <t>| **`AGENTS.md`** | Cursor agents (optional auto-read) | Short repo-wide agent briefing: two-phase workflow, cite-never-invent, validators, scope. Overlaps README + prompts. |</t>
  </si>
  <si>
    <t>| **`prompts/integration-spec-research.md`** | **Research agent (Turn 1)** | Full procedure: read source/target/rules/VVLs → write `research/*.yaml` → run `validate_research.py`. |</t>
  </si>
  <si>
    <t>| **`prompts/integration-spec-write.md`** | **Writer agent (Turn 2)** | Full procedure: research YAML only → write `spec/*.md` → validate → `md_to_docx.py`. |</t>
  </si>
  <si>
    <t>| **`prompts/integration-spec-generation.md`** | Nobody (legacy) | **Deprecated** redirect to the two-phase prompts above. |</t>
  </si>
  <si>
    <t>### Rule data (agent reads in Research)</t>
  </si>
  <si>
    <t>| **`rules/eligibility/data-elements.md`** | **Research agent** | Generated T-MSIS eligibility data elements (definitions, coding requirements, `ELG.xxx.xxx` ids). Grep/read instead of binary `source.xlsx`. |</t>
  </si>
  <si>
    <t>| **`rules/eligibility/value-lists/README.md`** | Humans + **Research agent** | Explains VVL CSV layout, CMS source, stubs vs CONFIRMED lists (e.g. preferred-language pointer rows). |</t>
  </si>
  <si>
    <t>(Value list **members** are in `*.csv`, not `.md`.)</t>
  </si>
  <si>
    <t>### Tests</t>
  </si>
  <si>
    <t>| **`tests/fixtures/minimal_spec.md`** | **Validator tests only** | Tiny spec sample for `validate_spec_against_research.py` unit tests — not production documentation. |</t>
  </si>
  <si>
    <t>## How they fit the two turns</t>
  </si>
  <si>
    <t>```mermaid</t>
  </si>
  <si>
    <t>flowchart LR</t>
  </si>
  <si>
    <t xml:space="preserve">  subgraph turn1 [Turn 1 Research]</t>
  </si>
  <si>
    <t xml:space="preserve">    P1[prompts/integration-spec-research.md]</t>
  </si>
  <si>
    <t xml:space="preserve">    S[source via CSV]</t>
  </si>
  <si>
    <t xml:space="preserve">    T[target/MemberEligibilityVO.md]</t>
  </si>
  <si>
    <t xml:space="preserve">    R[rules/data-elements.md + VVL CSVs]</t>
  </si>
  <si>
    <t xml:space="preserve">    Y[research/*.yaml]</t>
  </si>
  <si>
    <t xml:space="preserve">    P1 --&gt; S &amp; T &amp; R --&gt; Y</t>
  </si>
  <si>
    <t xml:space="preserve">  end</t>
  </si>
  <si>
    <t xml:space="preserve">  subgraph human [Human gate]</t>
  </si>
  <si>
    <t xml:space="preserve">    Y --&gt; Review[BA/SME review]</t>
  </si>
  <si>
    <t xml:space="preserve">  subgraph turn2 [Turn 2 Writer]</t>
  </si>
  <si>
    <t xml:space="preserve">    Review --&gt; P2[prompts/integration-spec-write.md]</t>
  </si>
  <si>
    <t xml:space="preserve">    P2 --&gt; Spec[spec/*.md]</t>
  </si>
  <si>
    <t xml:space="preserve">    Spec --&gt; Val[validate_spec_against_research.py]</t>
  </si>
  <si>
    <t xml:space="preserve">    Val --&gt; Docx[md_to_docx.py]</t>
  </si>
  <si>
    <t>**Docs** (`docs/*.md`, architecture/plan) sit **outside** this loop — they explain the process; they are not inputs to validators or required @-attachments.</t>
  </si>
  <si>
    <t>## Quick mental model</t>
  </si>
  <si>
    <t>| Category | Examples | “Just for reading?” |</t>
  </si>
  <si>
    <t>|----------|----------|---------------------|</t>
  </si>
  <si>
    <t>| **Agent runbooks** | `prompts/integration-spec-*.md` | No — these drive agent behavior when you `@` them. |</t>
  </si>
  <si>
    <t>| **Research inputs** | `target/*.md`, `rules/**/data-elements.md` | No — Turn 1 agent context. |</t>
  </si>
  <si>
    <t>| **Deliverables** | `spec/*.md` | Humans + tools; also machine-validated. |</t>
  </si>
  <si>
    <t>| **Human runbooks / design** | `README.md`, `docs/*.md`, `AGENTS.md` | Mostly humans; agents may skim. |</t>
  </si>
  <si>
    <t>| **Test fixtures** | `tests/fixtures/minimal_spec.md` | CI only. |</t>
  </si>
  <si>
    <t>## What is *not* in this list</t>
  </si>
  <si>
    <t>- **`.mdc`** — Cursor rules (constraints), not Markdown deliverables.</t>
  </si>
  <si>
    <t>- **`research/*.yaml`** — structured Research output (not `.md`).</t>
  </si>
  <si>
    <t>- **`source/MEMBERELIGIBILITY.csv`** — layout; Research reads CSV/CPY, not a `.md` for source layout.</t>
  </si>
  <si>
    <t>If you want, we can map **one chat prompt** (e.g. Turn 1) to exactly which of these files get `@`-attached vs never opened.</t>
  </si>
  <si>
    <t>medicare-validation-rules/schemas/integration-research.schema.json</t>
  </si>
  <si>
    <t>JSON Schema contract for the Research artifact shape
VALIDATES research/Integration_Research_&lt;Flow&gt;.yaml (YAML on disk, checked against this schema)</t>
  </si>
  <si>
    <t>Who References it:MANIFEST.yaml, prompts/integration-spec-research.md, integration-spec-research.mdc, validate_research.py</t>
  </si>
  <si>
    <t>Stage 0</t>
  </si>
  <si>
    <t>scripts/run-integration-spec-workflow.ps1</t>
  </si>
  <si>
    <t>Gated orchestrator: setup checks, emits Turn 1/2 Cursor prompts, runs validators, HITL approval, Word export; does not invoke the LLM</t>
  </si>
  <si>
    <r>
      <t>smoke</t>
    </r>
    <r>
      <rPr>
        <sz val="7"/>
        <color rgb="FFD8DEE9"/>
        <rFont val="Segoe UI"/>
        <family val="2"/>
      </rPr>
      <t> (</t>
    </r>
    <r>
      <rPr>
        <sz val="9.9"/>
        <color rgb="FFCCCCCC"/>
        <rFont val="Consolas"/>
        <family val="3"/>
      </rPr>
      <t>-SmokeTest</t>
    </r>
    <r>
      <rPr>
        <sz val="7"/>
        <color rgb="FFD8DEE9"/>
        <rFont val="Segoe UI"/>
        <family val="2"/>
      </rPr>
      <t>); </t>
    </r>
    <r>
      <rPr>
        <sz val="7"/>
        <color rgb="FFD8DEE9"/>
        <rFont val="Segoe UI"/>
        <family val="2"/>
      </rPr>
      <t>0</t>
    </r>
    <r>
      <rPr>
        <sz val="7"/>
        <color rgb="FFD8DEE9"/>
        <rFont val="Segoe UI"/>
        <family val="2"/>
      </rPr>
      <t> Setup; </t>
    </r>
    <r>
      <rPr>
        <sz val="7"/>
        <color rgb="FFD8DEE9"/>
        <rFont val="Segoe UI"/>
        <family val="2"/>
      </rPr>
      <t>1</t>
    </r>
    <r>
      <rPr>
        <sz val="7"/>
        <color rgb="FFD8DEE9"/>
        <rFont val="Segoe UI"/>
        <family val="2"/>
      </rPr>
      <t> Research prompt; </t>
    </r>
    <r>
      <rPr>
        <sz val="7"/>
        <color rgb="FFD8DEE9"/>
        <rFont val="Segoe UI"/>
        <family val="2"/>
      </rPr>
      <t>1b</t>
    </r>
    <r>
      <rPr>
        <sz val="7"/>
        <color rgb="FFD8DEE9"/>
        <rFont val="Segoe UI"/>
        <family val="2"/>
      </rPr>
      <t> </t>
    </r>
    <r>
      <rPr>
        <sz val="9.9"/>
        <color rgb="FF81A1C1"/>
        <rFont val="Consolas"/>
        <family val="3"/>
      </rPr>
      <t>validate_research.py</t>
    </r>
    <r>
      <rPr>
        <sz val="7"/>
        <color rgb="FFD8DEE9"/>
        <rFont val="Segoe UI"/>
        <family val="2"/>
      </rPr>
      <t>; </t>
    </r>
    <r>
      <rPr>
        <sz val="7"/>
        <color rgb="FFD8DEE9"/>
        <rFont val="Segoe UI"/>
        <family val="2"/>
      </rPr>
      <t>2</t>
    </r>
    <r>
      <rPr>
        <sz val="7"/>
        <color rgb="FFD8DEE9"/>
        <rFont val="Segoe UI"/>
        <family val="2"/>
      </rPr>
      <t> Human approval; </t>
    </r>
    <r>
      <rPr>
        <sz val="7"/>
        <color rgb="FFD8DEE9"/>
        <rFont val="Segoe UI"/>
        <family val="2"/>
      </rPr>
      <t>3</t>
    </r>
    <r>
      <rPr>
        <sz val="7"/>
        <color rgb="FFD8DEE9"/>
        <rFont val="Segoe UI"/>
        <family val="2"/>
      </rPr>
      <t> Writer prompt; </t>
    </r>
    <r>
      <rPr>
        <sz val="7"/>
        <color rgb="FFD8DEE9"/>
        <rFont val="Segoe UI"/>
        <family val="2"/>
      </rPr>
      <t>3b</t>
    </r>
    <r>
      <rPr>
        <sz val="7"/>
        <color rgb="FFD8DEE9"/>
        <rFont val="Segoe UI"/>
        <family val="2"/>
      </rPr>
      <t> </t>
    </r>
    <r>
      <rPr>
        <sz val="9.9"/>
        <color rgb="FF81A1C1"/>
        <rFont val="Consolas"/>
        <family val="3"/>
      </rPr>
      <t>validate_spec_against_research.py</t>
    </r>
    <r>
      <rPr>
        <sz val="7"/>
        <color rgb="FFD8DEE9"/>
        <rFont val="Segoe UI"/>
        <family val="2"/>
      </rPr>
      <t>; </t>
    </r>
    <r>
      <rPr>
        <sz val="7"/>
        <color rgb="FFD8DEE9"/>
        <rFont val="Segoe UI"/>
        <family val="2"/>
      </rPr>
      <t>4</t>
    </r>
    <r>
      <rPr>
        <sz val="7"/>
        <color rgb="FFD8DEE9"/>
        <rFont val="Segoe UI"/>
        <family val="2"/>
      </rPr>
      <t> </t>
    </r>
    <r>
      <rPr>
        <sz val="9.9"/>
        <color rgb="FF81A1C1"/>
        <rFont val="Consolas"/>
        <family val="3"/>
      </rPr>
      <t>md_to_docx.py</t>
    </r>
  </si>
  <si>
    <r>
      <t>You</t>
    </r>
    <r>
      <rPr>
        <sz val="7"/>
        <color rgb="FFD8DEE9"/>
        <rFont val="Segoe UI"/>
        <family val="2"/>
      </rPr>
      <t> (PowerShell); </t>
    </r>
    <r>
      <rPr>
        <sz val="9.9"/>
        <color rgb="FF81A1C1"/>
        <rFont val="Consolas"/>
        <family val="3"/>
      </rPr>
      <t>scripts/run-integration-spec-workflow.cmd</t>
    </r>
    <r>
      <rPr>
        <sz val="7"/>
        <color rgb="FFD8DEE9"/>
        <rFont val="Segoe UI"/>
        <family val="2"/>
      </rPr>
      <t>; </t>
    </r>
    <r>
      <rPr>
        <sz val="9.9"/>
        <color rgb="FF81A1C1"/>
        <rFont val="Consolas"/>
        <family val="3"/>
      </rPr>
      <t>README.md</t>
    </r>
    <r>
      <rPr>
        <sz val="7"/>
        <color rgb="FFD8DEE9"/>
        <rFont val="Segoe UI"/>
        <family val="2"/>
      </rPr>
      <t>; </t>
    </r>
    <r>
      <rPr>
        <sz val="9.9"/>
        <color rgb="FF81A1C1"/>
        <rFont val="Consolas"/>
        <family val="3"/>
      </rPr>
      <t>.cursor/skills/integration-spec-workflow/SKILL.md</t>
    </r>
    <r>
      <rPr>
        <sz val="7"/>
        <color rgb="FFD8DEE9"/>
        <rFont val="Segoe UI"/>
        <family val="2"/>
      </rPr>
      <t>; </t>
    </r>
    <r>
      <rPr>
        <sz val="9.9"/>
        <color rgb="FF81A1C1"/>
        <rFont val="Consolas"/>
        <family val="3"/>
      </rPr>
      <t>docs/Orchestration_Implementation_Plan.md</t>
    </r>
    <r>
      <rPr>
        <sz val="7"/>
        <color rgb="FFD8DEE9"/>
        <rFont val="Segoe UI"/>
        <family val="2"/>
      </rPr>
      <t>; </t>
    </r>
    <r>
      <rPr>
        <sz val="9.9"/>
        <color rgb="FF81A1C1"/>
        <rFont val="Consolas"/>
        <family val="3"/>
      </rPr>
      <t>docs/Integration_Spec_Creation_Architecture.md</t>
    </r>
  </si>
  <si>
    <t>scripts/workflow.config.json</t>
  </si>
  <si>
    <t>Per-integration defaults: flow name, research/spec paths, source/target paths, rules/VVL paths, library relative path</t>
  </si>
  <si>
    <r>
      <t>Loaded </t>
    </r>
    <r>
      <rPr>
        <sz val="7"/>
        <color rgb="FFD8DEE9"/>
        <rFont val="Segoe UI"/>
        <family val="2"/>
      </rPr>
      <t>before Stage 0</t>
    </r>
    <r>
      <rPr>
        <sz val="7"/>
        <color rgb="FFD8DEE9"/>
        <rFont val="Segoe UI"/>
        <family val="2"/>
      </rPr>
      <t>; fields used in </t>
    </r>
    <r>
      <rPr>
        <sz val="7"/>
        <color rgb="FFD8DEE9"/>
        <rFont val="Segoe UI"/>
        <family val="2"/>
      </rPr>
      <t>0–4</t>
    </r>
    <r>
      <rPr>
        <sz val="7"/>
        <color rgb="FFD8DEE9"/>
        <rFont val="Segoe UI"/>
        <family val="2"/>
      </rPr>
      <t> (see below)</t>
    </r>
  </si>
  <si>
    <r>
      <t>run-integration-spec-workflow.ps1</t>
    </r>
    <r>
      <rPr>
        <sz val="7"/>
        <color rgb="FFD8DEE9"/>
        <rFont val="Segoe UI"/>
        <family val="2"/>
      </rPr>
      <t> (default </t>
    </r>
    <r>
      <rPr>
        <sz val="9.9"/>
        <color rgb="FFCCCCCC"/>
        <rFont val="Consolas"/>
        <family val="3"/>
      </rPr>
      <t>-ConfigPath</t>
    </r>
    <r>
      <rPr>
        <sz val="7"/>
        <color rgb="FFD8DEE9"/>
        <rFont val="Segoe UI"/>
        <family val="2"/>
      </rPr>
      <t>); referenced by </t>
    </r>
    <r>
      <rPr>
        <sz val="9.9"/>
        <color rgb="FFCCCCCC"/>
        <rFont val="Consolas"/>
        <family val="3"/>
      </rPr>
      <t>integration-spec-workflow</t>
    </r>
    <r>
      <rPr>
        <sz val="7"/>
        <color rgb="FFD8DEE9"/>
        <rFont val="Segoe UI"/>
        <family val="2"/>
      </rPr>
      <t> skill</t>
    </r>
    <r>
      <rPr>
        <sz val="7"/>
        <color rgb="FFD8DEE9"/>
        <rFont val="Segoe UI"/>
        <family val="2"/>
      </rPr>
      <t> for manual chat prompts (Stage 1 path list)</t>
    </r>
  </si>
  <si>
    <t>export-spec-docx.ps1</t>
  </si>
  <si>
    <r>
      <t>Standalone Word export for Member Eligibility spec (hard-coded </t>
    </r>
    <r>
      <rPr>
        <sz val="9.9"/>
        <color rgb="FFCCCCCC"/>
        <rFont val="Consolas"/>
        <family val="3"/>
      </rPr>
      <t>spec/*.md</t>
    </r>
    <r>
      <rPr>
        <sz val="7"/>
        <color rgb="FFD8DEE9"/>
        <rFont val="Segoe UI"/>
        <family val="2"/>
      </rPr>
      <t> → </t>
    </r>
    <r>
      <rPr>
        <sz val="9.9"/>
        <color rgb="FF81A1C1"/>
        <rFont val="Consolas"/>
        <family val="3"/>
      </rPr>
      <t>md_to_docx.py</t>
    </r>
    <r>
      <rPr>
        <sz val="7"/>
        <color rgb="FFD8DEE9"/>
        <rFont val="Segoe UI"/>
        <family val="2"/>
      </rPr>
      <t>)</t>
    </r>
  </si>
  <si>
    <r>
      <t>4</t>
    </r>
    <r>
      <rPr>
        <sz val="7"/>
        <color rgb="FFD8DEE9"/>
        <rFont val="Segoe UI"/>
        <family val="2"/>
      </rPr>
      <t> — manual </t>
    </r>
    <r>
      <rPr>
        <sz val="7"/>
        <color rgb="FFD8DEE9"/>
        <rFont val="Segoe UI"/>
        <family val="2"/>
      </rPr>
      <t>fallback</t>
    </r>
    <r>
      <rPr>
        <sz val="7"/>
        <color rgb="FFD8DEE9"/>
        <rFont val="Segoe UI"/>
        <family val="2"/>
      </rPr>
      <t> when Pandoc/</t>
    </r>
    <r>
      <rPr>
        <sz val="9.9"/>
        <color rgb="FF81A1C1"/>
        <rFont val="Consolas"/>
        <family val="3"/>
      </rPr>
      <t>md_to_docx.py</t>
    </r>
    <r>
      <rPr>
        <sz val="7"/>
        <color rgb="FFD8DEE9"/>
        <rFont val="Segoe UI"/>
        <family val="2"/>
      </rPr>
      <t> fails (orchestrator does not auto-run it)</t>
    </r>
  </si>
  <si>
    <r>
      <t>You</t>
    </r>
    <r>
      <rPr>
        <sz val="7"/>
        <color rgb="FFD8DEE9"/>
        <rFont val="Segoe UI"/>
        <family val="2"/>
      </rPr>
      <t> (manual); suggested on failure by </t>
    </r>
    <r>
      <rPr>
        <sz val="9.9"/>
        <color rgb="FF81A1C1"/>
        <rFont val="Consolas"/>
        <family val="3"/>
      </rPr>
      <t>run-integration-spec-workflow.ps1</t>
    </r>
    <r>
      <rPr>
        <sz val="7"/>
        <color rgb="FFD8DEE9"/>
        <rFont val="Segoe UI"/>
        <family val="2"/>
      </rPr>
      <t> and </t>
    </r>
    <r>
      <rPr>
        <sz val="9.9"/>
        <color rgb="FFCCCCCC"/>
        <rFont val="Consolas"/>
        <family val="3"/>
      </rPr>
      <t>integration-spec-workflow</t>
    </r>
    <r>
      <rPr>
        <sz val="7"/>
        <color rgb="FFD8DEE9"/>
        <rFont val="Segoe UI"/>
        <family val="2"/>
      </rPr>
      <t> skill</t>
    </r>
    <r>
      <rPr>
        <sz val="7"/>
        <color rgb="FFD8DEE9"/>
        <rFont val="Segoe UI"/>
        <family val="2"/>
      </rPr>
      <t>; </t>
    </r>
    <r>
      <rPr>
        <sz val="9.9"/>
        <color rgb="FF81A1C1"/>
        <rFont val="Consolas"/>
        <family val="3"/>
      </rPr>
      <t>README.md</t>
    </r>
  </si>
  <si>
    <t>AGENTS.md</t>
  </si>
  <si>
    <r>
      <t>SKILL.md</t>
    </r>
    <r>
      <rPr>
        <sz val="7"/>
        <color rgb="FFD8DEE9"/>
        <rFont val="Segoe UI"/>
        <family val="2"/>
      </rPr>
      <t> (under </t>
    </r>
    <r>
      <rPr>
        <sz val="9.9"/>
        <color rgb="FFCCCCCC"/>
        <rFont val="Consolas"/>
        <family val="3"/>
      </rPr>
      <t>.cursor/skills/</t>
    </r>
    <r>
      <rPr>
        <sz val="7"/>
        <color rgb="FFD8DEE9"/>
        <rFont val="Segoe UI"/>
        <family val="2"/>
      </rPr>
      <t>)</t>
    </r>
  </si>
  <si>
    <t>Purpose</t>
  </si>
  <si>
    <t>Standing instructions for “working in this repo”</t>
  </si>
  <si>
    <r>
      <t>Optional playbook for a </t>
    </r>
    <r>
      <rPr>
        <sz val="7"/>
        <color rgb="FFD8DEE9"/>
        <rFont val="Segoe UI"/>
        <family val="2"/>
      </rPr>
      <t>specific</t>
    </r>
    <r>
      <rPr>
        <sz val="7"/>
        <color rgb="FFD8DEE9"/>
        <rFont val="Segoe UI"/>
        <family val="2"/>
      </rPr>
      <t> workflow</t>
    </r>
  </si>
  <si>
    <t>Typical loading</t>
  </si>
  <si>
    <r>
      <t>Auto-included when that folder is in the workspace (your README: </t>
    </r>
    <r>
      <rPr>
        <i/>
        <sz val="7"/>
        <color rgb="FFD8DEE9"/>
        <rFont val="Segoe UI"/>
        <family val="2"/>
      </rPr>
      <t>“repo-wide agent guidance (auto-read by Cursor)”</t>
    </r>
    <r>
      <rPr>
        <sz val="7"/>
        <color rgb="FFD8DEE9"/>
        <rFont val="Segoe UI"/>
        <family val="2"/>
      </rPr>
      <t>)</t>
    </r>
  </si>
  <si>
    <r>
      <t>Catalog entry (</t>
    </r>
    <r>
      <rPr>
        <sz val="9.9"/>
        <color rgb="FFCCCCCC"/>
        <rFont val="Consolas"/>
        <family val="3"/>
      </rPr>
      <t>description</t>
    </r>
    <r>
      <rPr>
        <sz val="7"/>
        <color rgb="FFD8DEE9"/>
        <rFont val="Segoe UI"/>
        <family val="2"/>
      </rPr>
      <t>) → agent </t>
    </r>
    <r>
      <rPr>
        <sz val="7"/>
        <color rgb="FFD8DEE9"/>
        <rFont val="Segoe UI"/>
        <family val="2"/>
      </rPr>
      <t>chooses</t>
    </r>
    <r>
      <rPr>
        <sz val="7"/>
        <color rgb="FFD8DEE9"/>
        <rFont val="Segoe UI"/>
        <family val="2"/>
      </rPr>
      <t> whether to read the full file</t>
    </r>
  </si>
  <si>
    <t>Frontmatter</t>
  </si>
  <si>
    <t>Plain markdown (no skill YAML)</t>
  </si>
  <si>
    <r>
      <t>Requires </t>
    </r>
    <r>
      <rPr>
        <sz val="9.9"/>
        <color rgb="FFCCCCCC"/>
        <rFont val="Consolas"/>
        <family val="3"/>
      </rPr>
      <t>name</t>
    </r>
    <r>
      <rPr>
        <sz val="7"/>
        <color rgb="FFD8DEE9"/>
        <rFont val="Segoe UI"/>
        <family val="2"/>
      </rPr>
      <t>, </t>
    </r>
    <r>
      <rPr>
        <sz val="9.9"/>
        <color rgb="FFCCCCCC"/>
        <rFont val="Consolas"/>
        <family val="3"/>
      </rPr>
      <t>description</t>
    </r>
    <r>
      <rPr>
        <sz val="7"/>
        <color rgb="FFD8DEE9"/>
        <rFont val="Segoe UI"/>
        <family val="2"/>
      </rPr>
      <t>; optional </t>
    </r>
    <r>
      <rPr>
        <sz val="9.9"/>
        <color rgb="FFCCCCCC"/>
        <rFont val="Consolas"/>
        <family val="3"/>
      </rPr>
      <t>disable-model-invocation</t>
    </r>
  </si>
  <si>
    <t>disable-model-invocation</t>
  </si>
  <si>
    <r>
      <t>Not applicable</t>
    </r>
    <r>
      <rPr>
        <sz val="7"/>
        <color rgb="FFD8DEE9"/>
        <rFont val="Segoe UI"/>
        <family val="2"/>
      </rPr>
      <t> — not a skill</t>
    </r>
  </si>
  <si>
    <r>
      <t>Controls whether the model may </t>
    </r>
    <r>
      <rPr>
        <sz val="7"/>
        <color rgb="FFD8DEE9"/>
        <rFont val="Segoe UI"/>
        <family val="2"/>
      </rPr>
      <t>auto-invoke</t>
    </r>
    <r>
      <rPr>
        <sz val="7"/>
        <color rgb="FFD8DEE9"/>
        <rFont val="Segoe UI"/>
        <family val="2"/>
      </rPr>
      <t> that skill from context</t>
    </r>
  </si>
  <si>
    <t xml:space="preserve">what is the purpose of reference.md file alongside the skill.md file? </t>
  </si>
  <si>
    <t>**`reference.md` is optional “deep detail” for a skill** — loaded only when the agent needs it, so **`SKILL.md` stays short and scannable.**</t>
  </si>
  <si>
    <t>## The problem it solves</t>
  </si>
  <si>
    <t>Skills compete for the same context window as chat history, rules, and `AGENTS.md`. Cursor’s guidance is:</t>
  </si>
  <si>
    <t>- **`SKILL.md`** — workflow, constraints, “what to do first” (ideally under ~500 lines)</t>
  </si>
  <si>
    <t>- **`reference.md`** — long templates, tables, tier definitions, copy-paste formats</t>
  </si>
  <si>
    <t>That split is **progressive disclosure**: put essentials in the skill; put bulk in a sibling file the agent reads **when** the task needs it.</t>
  </si>
  <si>
    <t>## How the agent uses it</t>
  </si>
  <si>
    <t>1. User request matches the skill’s **`description`** → agent reads **`SKILL.md`**</t>
  </si>
  <si>
    <t>2. `SKILL.md` points to extras, e.g. your medicaid skill:</t>
  </si>
  <si>
    <t xml:space="preserve">   ```markdown</t>
  </si>
  <si>
    <t xml:space="preserve">   ## Additional resources</t>
  </si>
  <si>
    <t xml:space="preserve">   - Output templates and tier details: [reference.md](reference.md)</t>
  </si>
  <si>
    <t xml:space="preserve">   ```</t>
  </si>
  <si>
    <t>3. Agent **opens `reference.md` only if** it needs templates (lookup report, change-detection report, tier metadata, etc.)</t>
  </si>
  <si>
    <t>So `reference.md` is **not** auto-discovered like the skill `description`. It’s pulled in via a link from `SKILL.md` (or an explicit `@reference.md`).</t>
  </si>
  <si>
    <t>## Your repo example</t>
  </si>
  <si>
    <t>| File | Role |</t>
  </si>
  <si>
    <t>|------|------|</t>
  </si>
  <si>
    <t>| **`SKILL.md`** | Allowlist rules, `lookup_sources.py`, workflow steps, hard constraints |</t>
  </si>
  <si>
    <t>| **`reference.md`** | Markdown **output templates**, change-detection structure, extra reference tables |</t>
  </si>
  <si>
    <t>The skill teaches *how* to research; `reference.md` teaches *what the deliverable should look like*.</t>
  </si>
  <si>
    <t>## vs other siblings</t>
  </si>
  <si>
    <t>Same pattern, different names:</t>
  </si>
  <si>
    <t xml:space="preserve">- **`examples.md`** — sample inputs/outputs  </t>
  </si>
  <si>
    <t>- **`scripts/`** — runnable helpers (e.g. `lookup_sources.py`)</t>
  </si>
  <si>
    <t>Only **`SKILL.md`** needs YAML frontmatter (`name`, `description`, optional `disable-model-invocation`). **`reference.md` is plain markdown** — no skill metadata.</t>
  </si>
  <si>
    <t>## When to add `reference.md`</t>
  </si>
  <si>
    <t>Add it when `SKILL.md` would get long from:</t>
  </si>
  <si>
    <t xml:space="preserve">- Large lookup tables  </t>
  </si>
  <si>
    <t xml:space="preserve">- API or registry field dictionaries  </t>
  </si>
  <si>
    <t>Keep **`SKILL.md`** as the always-read spine; **`reference.md`** as the appendix the agent opens on demand.</t>
  </si>
  <si>
    <t>Q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</si>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</sst>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"/>
      <color rgb="FFD8DEE9"/>
      <name val="Segoe UI"/>
      <family val="2"/>
    </font>
    <font>
      <sz val="7"/>
      <color rgb="FFD8DEE9"/>
      <name val="Segoe UI"/>
      <family val="2"/>
    </font>
    <font>
      <sz val="9.9"/>
      <color rgb="FF81A1C1"/>
      <name val="Consolas"/>
      <family val="3"/>
    </font>
    <font>
      <sz val="9.9"/>
      <color rgb="FFCCCCCC"/>
      <name val="Consolas"/>
      <family val="3"/>
    </font>
    <font>
      <sz val="7"/>
      <color rgb="FFD8DEE9"/>
      <name val="Segoe UI"/>
      <family val="2"/>
    </font>
    <font>
      <sz val="7"/>
      <name val="Segoe UI"/>
      <family val="2"/>
    </font>
    <font>
      <sz val="7"/>
      <name val="Segoe UI"/>
      <family val="2"/>
    </font>
    <font>
      <sz val="9.9"/>
      <name val="Consolas"/>
      <family val="3"/>
    </font>
    <font>
      <sz val="10"/>
      <name val="Calibri"/>
      <family val="2"/>
      <scheme val="minor"/>
    </font>
    <font>
      <sz val="10"/>
      <name val="Segoe UI"/>
      <family val="2"/>
    </font>
    <font>
      <sz val="10"/>
      <name val="Consolas"/>
      <family val="3"/>
    </font>
    <font>
      <b/>
      <sz val="14"/>
      <color theme="1"/>
      <name val="Calibri"/>
      <family val="2"/>
      <scheme val="minor"/>
    </font>
    <font>
      <sz val="7"/>
      <color rgb="FFD8DEE9"/>
      <name val="Segoe UI"/>
      <family val="2"/>
    </font>
    <font>
      <sz val="7"/>
      <color rgb="FFD8DEE9"/>
      <name val="Segoe UI"/>
      <family val="2"/>
    </font>
    <font>
      <sz val="9.9"/>
      <color rgb="FF81A1C1"/>
      <name val="Consolas"/>
      <family val="3"/>
    </font>
    <font>
      <sz val="9.9"/>
      <color rgb="FFCCCCCC"/>
      <name val="Consolas"/>
      <family val="3"/>
    </font>
    <font>
      <sz val="9.9"/>
      <color rgb="FFCCCCCC"/>
      <name val="Consolas"/>
      <family val="3"/>
    </font>
    <font>
      <i/>
      <sz val="7"/>
      <color rgb="FFD8DEE9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0A0A0A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2" borderId="1" xfId="0" applyFont="1" applyFill="1" applyBorder="1" applyAlignment="1">
      <alignment horizontal="left" vertical="top"/>
    </xf>
    <xf numFmtId="0" fontId="3" fillId="2" borderId="1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horizontal="left" vertical="center" wrapText="1"/>
    </xf>
    <xf numFmtId="0" fontId="6" fillId="2" borderId="1" xfId="0" applyFont="1" applyFill="1" applyBorder="1" applyAlignment="1">
      <alignment horizontal="left" vertical="center" wrapText="1"/>
    </xf>
    <xf numFmtId="0" fontId="10" fillId="0" borderId="0" xfId="0" applyFont="1"/>
    <xf numFmtId="0" fontId="11" fillId="0" borderId="0" xfId="0" applyFont="1"/>
    <xf numFmtId="0" fontId="8" fillId="0" borderId="0" xfId="0" applyFont="1" applyAlignment="1">
      <alignment vertical="center" wrapText="1"/>
    </xf>
    <xf numFmtId="0" fontId="8" fillId="0" borderId="0" xfId="0" applyFont="1" applyAlignment="1">
      <alignment horizontal="left" vertical="center" wrapText="1" indent="1"/>
    </xf>
    <xf numFmtId="0" fontId="7" fillId="0" borderId="0" xfId="0" applyFont="1" applyAlignment="1">
      <alignment horizontal="left" vertical="center" wrapText="1" indent="1"/>
    </xf>
    <xf numFmtId="0" fontId="0" fillId="0" borderId="0" xfId="0" applyAlignment="1">
      <alignment wrapText="1"/>
    </xf>
    <xf numFmtId="0" fontId="1" fillId="3" borderId="0" xfId="0" applyFont="1" applyFill="1" applyAlignment="1">
      <alignment wrapText="1"/>
    </xf>
    <xf numFmtId="0" fontId="13" fillId="0" borderId="0" xfId="0" applyFont="1"/>
    <xf numFmtId="0" fontId="0" fillId="3" borderId="0" xfId="0" applyFill="1" applyAlignment="1">
      <alignment wrapText="1"/>
    </xf>
    <xf numFmtId="0" fontId="13" fillId="3" borderId="0" xfId="0" applyFont="1" applyFill="1"/>
    <xf numFmtId="0" fontId="16" fillId="2" borderId="0" xfId="0" applyFont="1" applyFill="1" applyAlignment="1">
      <alignment horizontal="left" vertical="top"/>
    </xf>
    <xf numFmtId="0" fontId="17" fillId="2" borderId="0" xfId="0" applyFont="1" applyFill="1" applyAlignment="1">
      <alignment horizontal="left" vertical="top"/>
    </xf>
    <xf numFmtId="0" fontId="15" fillId="2" borderId="0" xfId="0" applyFont="1" applyFill="1" applyAlignment="1">
      <alignment horizontal="left" vertical="center" wrapText="1"/>
    </xf>
    <xf numFmtId="0" fontId="2" fillId="2" borderId="0" xfId="0" applyFont="1" applyFill="1" applyAlignment="1">
      <alignment horizontal="left" vertical="center" wrapText="1"/>
    </xf>
    <xf numFmtId="0" fontId="17" fillId="2" borderId="0" xfId="0" applyFont="1" applyFill="1" applyAlignment="1">
      <alignment horizontal="left" vertical="center" wrapText="1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6"/>
  <sheetViews>
    <sheetView zoomScale="90" zoomScaleNormal="90" workbookViewId="0">
      <selection activeCell="B7" sqref="B7"/>
    </sheetView>
  </sheetViews>
  <sheetFormatPr defaultRowHeight="14.5" x14ac:dyDescent="0.35"/>
  <cols>
    <col min="1" max="1" width="4" customWidth="1"/>
    <col min="2" max="2" width="68.7265625" customWidth="1"/>
    <col min="3" max="3" width="47.26953125" customWidth="1"/>
    <col min="4" max="4" width="18.453125" customWidth="1"/>
    <col min="5" max="5" width="28.1796875" customWidth="1"/>
  </cols>
  <sheetData>
    <row r="1" spans="1:5" s="6" customFormat="1" ht="16" x14ac:dyDescent="0.45">
      <c r="B1" s="7" t="s">
        <v>92</v>
      </c>
    </row>
    <row r="2" spans="1:5" x14ac:dyDescent="0.35">
      <c r="A2" s="1"/>
      <c r="B2" s="1" t="s">
        <v>0</v>
      </c>
      <c r="C2" s="1" t="s">
        <v>1</v>
      </c>
      <c r="D2" s="1" t="s">
        <v>2</v>
      </c>
      <c r="E2" s="1" t="s">
        <v>3</v>
      </c>
    </row>
    <row r="3" spans="1:5" ht="28" customHeight="1" x14ac:dyDescent="0.35">
      <c r="A3" s="2">
        <v>1</v>
      </c>
      <c r="B3" s="3" t="s">
        <v>236</v>
      </c>
      <c r="C3" s="2" t="s">
        <v>237</v>
      </c>
      <c r="D3" s="2" t="s">
        <v>238</v>
      </c>
      <c r="E3" s="2" t="s">
        <v>239</v>
      </c>
    </row>
    <row r="4" spans="1:5" ht="28" customHeight="1" x14ac:dyDescent="0.35">
      <c r="A4" s="2">
        <v>2</v>
      </c>
      <c r="B4" s="3" t="s">
        <v>240</v>
      </c>
      <c r="C4" s="2" t="s">
        <v>241</v>
      </c>
      <c r="D4" s="2" t="s">
        <v>242</v>
      </c>
      <c r="E4" s="2" t="s">
        <v>243</v>
      </c>
    </row>
    <row r="5" spans="1:5" ht="28" customHeight="1" x14ac:dyDescent="0.35">
      <c r="A5" s="2">
        <v>3</v>
      </c>
      <c r="B5" s="3" t="s">
        <v>4</v>
      </c>
      <c r="C5" s="2" t="s">
        <v>5</v>
      </c>
      <c r="D5" s="2" t="s">
        <v>6</v>
      </c>
      <c r="E5" s="2" t="s">
        <v>7</v>
      </c>
    </row>
    <row r="6" spans="1:5" x14ac:dyDescent="0.35">
      <c r="A6" s="2">
        <v>4</v>
      </c>
      <c r="B6" s="3" t="s">
        <v>8</v>
      </c>
      <c r="C6" s="2" t="s">
        <v>9</v>
      </c>
      <c r="D6" s="2" t="s">
        <v>10</v>
      </c>
      <c r="E6" s="2" t="s">
        <v>11</v>
      </c>
    </row>
    <row r="7" spans="1:5" ht="29" customHeight="1" x14ac:dyDescent="0.35">
      <c r="A7" s="2">
        <v>5</v>
      </c>
      <c r="B7" s="4" t="s">
        <v>12</v>
      </c>
      <c r="C7" s="2" t="s">
        <v>13</v>
      </c>
      <c r="D7" s="2" t="s">
        <v>14</v>
      </c>
      <c r="E7" s="2" t="s">
        <v>15</v>
      </c>
    </row>
    <row r="8" spans="1:5" ht="24" customHeight="1" x14ac:dyDescent="0.35">
      <c r="A8" s="2">
        <v>6</v>
      </c>
      <c r="B8" s="4" t="s">
        <v>16</v>
      </c>
      <c r="C8" s="2" t="s">
        <v>17</v>
      </c>
      <c r="D8" s="2" t="s">
        <v>14</v>
      </c>
      <c r="E8" s="2" t="s">
        <v>18</v>
      </c>
    </row>
    <row r="9" spans="1:5" x14ac:dyDescent="0.35">
      <c r="A9" s="2">
        <v>7</v>
      </c>
      <c r="B9" s="3" t="s">
        <v>19</v>
      </c>
      <c r="C9" s="2" t="s">
        <v>20</v>
      </c>
      <c r="D9" s="2" t="s">
        <v>14</v>
      </c>
      <c r="E9" s="2" t="s">
        <v>18</v>
      </c>
    </row>
    <row r="10" spans="1:5" ht="26" x14ac:dyDescent="0.35">
      <c r="A10" s="2">
        <v>8</v>
      </c>
      <c r="B10" s="4" t="s">
        <v>21</v>
      </c>
      <c r="C10" s="2" t="s">
        <v>22</v>
      </c>
      <c r="D10" s="2" t="s">
        <v>14</v>
      </c>
      <c r="E10" s="2" t="s">
        <v>18</v>
      </c>
    </row>
    <row r="11" spans="1:5" ht="26" x14ac:dyDescent="0.35">
      <c r="A11" s="2">
        <v>9</v>
      </c>
      <c r="B11" s="4" t="s">
        <v>23</v>
      </c>
      <c r="C11" s="2" t="s">
        <v>24</v>
      </c>
      <c r="D11" s="2" t="s">
        <v>14</v>
      </c>
      <c r="E11" s="2" t="s">
        <v>18</v>
      </c>
    </row>
    <row r="12" spans="1:5" ht="47" x14ac:dyDescent="0.35">
      <c r="A12" s="2">
        <v>10</v>
      </c>
      <c r="B12" s="4" t="s">
        <v>25</v>
      </c>
      <c r="C12" s="2" t="s">
        <v>26</v>
      </c>
      <c r="D12" s="2" t="s">
        <v>27</v>
      </c>
      <c r="E12" s="3" t="s">
        <v>28</v>
      </c>
    </row>
    <row r="13" spans="1:5" ht="62.5" x14ac:dyDescent="0.35">
      <c r="A13" s="2">
        <v>11</v>
      </c>
      <c r="B13" s="3" t="s">
        <v>29</v>
      </c>
      <c r="C13" s="2" t="s">
        <v>30</v>
      </c>
      <c r="D13" s="2" t="s">
        <v>27</v>
      </c>
      <c r="E13" s="3" t="s">
        <v>31</v>
      </c>
    </row>
    <row r="14" spans="1:5" ht="49.5" x14ac:dyDescent="0.35">
      <c r="A14" s="2">
        <v>12</v>
      </c>
      <c r="B14" s="3" t="s">
        <v>32</v>
      </c>
      <c r="C14" s="2" t="s">
        <v>33</v>
      </c>
      <c r="D14" s="2" t="s">
        <v>34</v>
      </c>
      <c r="E14" s="3" t="s">
        <v>35</v>
      </c>
    </row>
    <row r="15" spans="1:5" ht="78" x14ac:dyDescent="0.35">
      <c r="A15" s="2">
        <v>13</v>
      </c>
      <c r="B15" s="3" t="s">
        <v>232</v>
      </c>
      <c r="C15" s="2" t="s">
        <v>233</v>
      </c>
      <c r="D15" s="3" t="s">
        <v>235</v>
      </c>
      <c r="E15" s="3" t="s">
        <v>234</v>
      </c>
    </row>
    <row r="16" spans="1:5" ht="36.5" x14ac:dyDescent="0.35">
      <c r="A16" s="2">
        <v>14</v>
      </c>
      <c r="B16" s="3" t="s">
        <v>36</v>
      </c>
      <c r="C16" s="2" t="s">
        <v>37</v>
      </c>
      <c r="D16" s="2" t="s">
        <v>38</v>
      </c>
      <c r="E16" s="3" t="s">
        <v>39</v>
      </c>
    </row>
    <row r="17" spans="1:5" ht="39" x14ac:dyDescent="0.35">
      <c r="A17" s="2">
        <v>15</v>
      </c>
      <c r="B17" s="3" t="s">
        <v>40</v>
      </c>
      <c r="C17" s="2" t="s">
        <v>41</v>
      </c>
      <c r="D17" s="2" t="s">
        <v>42</v>
      </c>
      <c r="E17" s="3" t="s">
        <v>43</v>
      </c>
    </row>
    <row r="18" spans="1:5" ht="39" x14ac:dyDescent="0.35">
      <c r="A18" s="2">
        <v>16</v>
      </c>
      <c r="B18" s="3" t="s">
        <v>44</v>
      </c>
      <c r="C18" s="2" t="s">
        <v>45</v>
      </c>
      <c r="D18" s="2" t="s">
        <v>46</v>
      </c>
      <c r="E18" s="3" t="s">
        <v>47</v>
      </c>
    </row>
    <row r="19" spans="1:5" ht="39" x14ac:dyDescent="0.35">
      <c r="A19" s="2">
        <v>17</v>
      </c>
      <c r="B19" s="3" t="s">
        <v>48</v>
      </c>
      <c r="C19" s="2" t="s">
        <v>49</v>
      </c>
      <c r="D19" s="2" t="s">
        <v>50</v>
      </c>
      <c r="E19" s="3" t="s">
        <v>47</v>
      </c>
    </row>
    <row r="20" spans="1:5" ht="39" x14ac:dyDescent="0.35">
      <c r="A20" s="2">
        <v>18</v>
      </c>
      <c r="B20" s="3" t="s">
        <v>51</v>
      </c>
      <c r="C20" s="2" t="s">
        <v>52</v>
      </c>
      <c r="D20" s="2" t="s">
        <v>50</v>
      </c>
      <c r="E20" s="3" t="s">
        <v>53</v>
      </c>
    </row>
    <row r="21" spans="1:5" ht="62.5" x14ac:dyDescent="0.35">
      <c r="A21" s="2">
        <v>19</v>
      </c>
      <c r="B21" s="3" t="s">
        <v>54</v>
      </c>
      <c r="C21" s="2" t="s">
        <v>55</v>
      </c>
      <c r="D21" s="2" t="s">
        <v>56</v>
      </c>
      <c r="E21" s="2" t="s">
        <v>57</v>
      </c>
    </row>
    <row r="22" spans="1:5" ht="26" x14ac:dyDescent="0.35">
      <c r="A22" s="2">
        <v>20</v>
      </c>
      <c r="B22" s="3" t="s">
        <v>58</v>
      </c>
      <c r="C22" s="2" t="s">
        <v>59</v>
      </c>
      <c r="D22" s="2" t="s">
        <v>56</v>
      </c>
      <c r="E22" s="2" t="s">
        <v>60</v>
      </c>
    </row>
    <row r="23" spans="1:5" ht="34" x14ac:dyDescent="0.35">
      <c r="A23" s="2">
        <v>21</v>
      </c>
      <c r="B23" s="3" t="s">
        <v>61</v>
      </c>
      <c r="C23" s="2" t="s">
        <v>62</v>
      </c>
      <c r="D23" s="2" t="s">
        <v>63</v>
      </c>
      <c r="E23" s="2" t="s">
        <v>64</v>
      </c>
    </row>
    <row r="24" spans="1:5" ht="36.5" x14ac:dyDescent="0.35">
      <c r="A24" s="2">
        <v>22</v>
      </c>
      <c r="B24" s="3" t="s">
        <v>65</v>
      </c>
      <c r="C24" s="2" t="s">
        <v>66</v>
      </c>
      <c r="D24" s="2" t="s">
        <v>67</v>
      </c>
      <c r="E24" s="2" t="s">
        <v>68</v>
      </c>
    </row>
    <row r="25" spans="1:5" ht="75.5" x14ac:dyDescent="0.35">
      <c r="A25" s="2">
        <v>23</v>
      </c>
      <c r="B25" s="4" t="s">
        <v>69</v>
      </c>
      <c r="C25" s="2" t="s">
        <v>70</v>
      </c>
      <c r="D25" s="2" t="s">
        <v>71</v>
      </c>
      <c r="E25" s="5" t="s">
        <v>72</v>
      </c>
    </row>
    <row r="26" spans="1:5" ht="39" x14ac:dyDescent="0.35">
      <c r="A26" s="2">
        <v>24</v>
      </c>
      <c r="B26" s="4" t="s">
        <v>73</v>
      </c>
      <c r="C26" s="2" t="s">
        <v>74</v>
      </c>
      <c r="D26" s="2" t="s">
        <v>75</v>
      </c>
      <c r="E26" s="2" t="s">
        <v>76</v>
      </c>
    </row>
    <row r="27" spans="1:5" ht="62.5" x14ac:dyDescent="0.35">
      <c r="A27" s="2">
        <v>25</v>
      </c>
      <c r="B27" s="3" t="s">
        <v>77</v>
      </c>
      <c r="C27" s="2" t="s">
        <v>78</v>
      </c>
      <c r="D27" s="2" t="s">
        <v>79</v>
      </c>
      <c r="E27" s="2" t="s">
        <v>80</v>
      </c>
    </row>
    <row r="28" spans="1:5" ht="26" x14ac:dyDescent="0.35">
      <c r="A28" s="2">
        <v>26</v>
      </c>
      <c r="B28" s="3" t="s">
        <v>81</v>
      </c>
      <c r="C28" s="2" t="s">
        <v>82</v>
      </c>
      <c r="D28" s="2" t="s">
        <v>79</v>
      </c>
      <c r="E28" s="2" t="s">
        <v>83</v>
      </c>
    </row>
    <row r="29" spans="1:5" ht="36.5" x14ac:dyDescent="0.35">
      <c r="A29" s="2">
        <v>27</v>
      </c>
      <c r="B29" s="4" t="s">
        <v>84</v>
      </c>
      <c r="C29" s="2" t="s">
        <v>85</v>
      </c>
      <c r="D29" s="2" t="s">
        <v>86</v>
      </c>
      <c r="E29" s="5" t="s">
        <v>87</v>
      </c>
    </row>
    <row r="30" spans="1:5" ht="26" x14ac:dyDescent="0.35">
      <c r="A30" s="2">
        <v>28</v>
      </c>
      <c r="B30" s="3" t="s">
        <v>88</v>
      </c>
      <c r="C30" s="2" t="s">
        <v>89</v>
      </c>
      <c r="D30" s="2" t="s">
        <v>90</v>
      </c>
      <c r="E30" s="3" t="s">
        <v>91</v>
      </c>
    </row>
    <row r="31" spans="1:5" ht="52" customHeight="1" x14ac:dyDescent="0.35">
      <c r="A31" s="2">
        <v>29</v>
      </c>
      <c r="B31" s="3" t="s">
        <v>244</v>
      </c>
      <c r="C31" s="2" t="s">
        <v>245</v>
      </c>
      <c r="D31" s="2" t="s">
        <v>246</v>
      </c>
      <c r="E31" s="2" t="s">
        <v>247</v>
      </c>
    </row>
    <row r="33" spans="2:2" x14ac:dyDescent="0.35">
      <c r="B33" s="8" t="s">
        <v>93</v>
      </c>
    </row>
    <row r="34" spans="2:2" ht="36.5" x14ac:dyDescent="0.35">
      <c r="B34" s="9" t="s">
        <v>94</v>
      </c>
    </row>
    <row r="35" spans="2:2" ht="26" x14ac:dyDescent="0.35">
      <c r="B35" s="9" t="s">
        <v>95</v>
      </c>
    </row>
    <row r="36" spans="2:2" ht="23.5" x14ac:dyDescent="0.35">
      <c r="B36" s="10" t="s">
        <v>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4E21AF-BEF8-4B6C-8DC4-33B1A1A19239}">
  <dimension ref="A2:D62"/>
  <sheetViews>
    <sheetView tabSelected="1" workbookViewId="0">
      <selection activeCell="A9" sqref="A9"/>
    </sheetView>
  </sheetViews>
  <sheetFormatPr defaultRowHeight="14.5" x14ac:dyDescent="0.35"/>
  <cols>
    <col min="2" max="2" width="26.54296875" customWidth="1"/>
    <col min="3" max="3" width="29.6328125" customWidth="1"/>
    <col min="4" max="4" width="37.7265625" customWidth="1"/>
  </cols>
  <sheetData>
    <row r="2" spans="1:4" x14ac:dyDescent="0.35">
      <c r="C2" s="16" t="s">
        <v>248</v>
      </c>
      <c r="D2" s="17" t="s">
        <v>249</v>
      </c>
    </row>
    <row r="3" spans="1:4" x14ac:dyDescent="0.35">
      <c r="B3" s="18" t="s">
        <v>250</v>
      </c>
      <c r="C3" s="19" t="s">
        <v>251</v>
      </c>
      <c r="D3" s="19" t="s">
        <v>252</v>
      </c>
    </row>
    <row r="4" spans="1:4" ht="31.5" x14ac:dyDescent="0.35">
      <c r="B4" s="18" t="s">
        <v>253</v>
      </c>
      <c r="C4" s="19" t="s">
        <v>254</v>
      </c>
      <c r="D4" s="19" t="s">
        <v>255</v>
      </c>
    </row>
    <row r="5" spans="1:4" ht="26" x14ac:dyDescent="0.35">
      <c r="B5" s="18" t="s">
        <v>256</v>
      </c>
      <c r="C5" s="19" t="s">
        <v>257</v>
      </c>
      <c r="D5" s="19" t="s">
        <v>258</v>
      </c>
    </row>
    <row r="6" spans="1:4" ht="26" x14ac:dyDescent="0.35">
      <c r="B6" s="20" t="s">
        <v>259</v>
      </c>
      <c r="C6" s="18" t="s">
        <v>260</v>
      </c>
      <c r="D6" s="19" t="s">
        <v>261</v>
      </c>
    </row>
    <row r="9" spans="1:4" x14ac:dyDescent="0.35">
      <c r="A9" s="21" t="s">
        <v>294</v>
      </c>
      <c r="B9" s="21" t="s">
        <v>262</v>
      </c>
    </row>
    <row r="10" spans="1:4" x14ac:dyDescent="0.35">
      <c r="A10" t="s">
        <v>295</v>
      </c>
      <c r="B10" t="s">
        <v>263</v>
      </c>
    </row>
    <row r="12" spans="1:4" x14ac:dyDescent="0.35">
      <c r="B12" t="s">
        <v>264</v>
      </c>
    </row>
    <row r="14" spans="1:4" x14ac:dyDescent="0.35">
      <c r="B14" t="s">
        <v>265</v>
      </c>
    </row>
    <row r="16" spans="1:4" x14ac:dyDescent="0.35">
      <c r="B16" t="s">
        <v>266</v>
      </c>
    </row>
    <row r="17" spans="2:2" x14ac:dyDescent="0.35">
      <c r="B17" t="s">
        <v>267</v>
      </c>
    </row>
    <row r="19" spans="2:2" x14ac:dyDescent="0.35">
      <c r="B19" t="s">
        <v>268</v>
      </c>
    </row>
    <row r="21" spans="2:2" x14ac:dyDescent="0.35">
      <c r="B21" t="s">
        <v>269</v>
      </c>
    </row>
    <row r="23" spans="2:2" x14ac:dyDescent="0.35">
      <c r="B23" t="s">
        <v>270</v>
      </c>
    </row>
    <row r="24" spans="2:2" x14ac:dyDescent="0.35">
      <c r="B24" t="s">
        <v>271</v>
      </c>
    </row>
    <row r="26" spans="2:2" x14ac:dyDescent="0.35">
      <c r="B26" t="s">
        <v>272</v>
      </c>
    </row>
    <row r="27" spans="2:2" x14ac:dyDescent="0.35">
      <c r="B27" t="s">
        <v>273</v>
      </c>
    </row>
    <row r="28" spans="2:2" x14ac:dyDescent="0.35">
      <c r="B28" t="s">
        <v>274</v>
      </c>
    </row>
    <row r="29" spans="2:2" x14ac:dyDescent="0.35">
      <c r="B29" t="s">
        <v>275</v>
      </c>
    </row>
    <row r="31" spans="2:2" x14ac:dyDescent="0.35">
      <c r="B31" t="s">
        <v>276</v>
      </c>
    </row>
    <row r="33" spans="2:2" x14ac:dyDescent="0.35">
      <c r="B33" t="s">
        <v>277</v>
      </c>
    </row>
    <row r="35" spans="2:2" x14ac:dyDescent="0.35">
      <c r="B35" t="s">
        <v>278</v>
      </c>
    </row>
    <row r="37" spans="2:2" x14ac:dyDescent="0.35">
      <c r="B37" t="s">
        <v>279</v>
      </c>
    </row>
    <row r="38" spans="2:2" x14ac:dyDescent="0.35">
      <c r="B38" t="s">
        <v>280</v>
      </c>
    </row>
    <row r="39" spans="2:2" x14ac:dyDescent="0.35">
      <c r="B39" t="s">
        <v>281</v>
      </c>
    </row>
    <row r="40" spans="2:2" x14ac:dyDescent="0.35">
      <c r="B40" t="s">
        <v>282</v>
      </c>
    </row>
    <row r="42" spans="2:2" x14ac:dyDescent="0.35">
      <c r="B42" t="s">
        <v>283</v>
      </c>
    </row>
    <row r="44" spans="2:2" x14ac:dyDescent="0.35">
      <c r="B44" t="s">
        <v>284</v>
      </c>
    </row>
    <row r="46" spans="2:2" x14ac:dyDescent="0.35">
      <c r="B46" t="s">
        <v>285</v>
      </c>
    </row>
    <row r="48" spans="2:2" x14ac:dyDescent="0.35">
      <c r="B48" t="s">
        <v>286</v>
      </c>
    </row>
    <row r="49" spans="2:2" x14ac:dyDescent="0.35">
      <c r="B49" t="s">
        <v>287</v>
      </c>
    </row>
    <row r="51" spans="2:2" x14ac:dyDescent="0.35">
      <c r="B51" t="s">
        <v>288</v>
      </c>
    </row>
    <row r="53" spans="2:2" x14ac:dyDescent="0.35">
      <c r="B53" t="s">
        <v>289</v>
      </c>
    </row>
    <row r="55" spans="2:2" x14ac:dyDescent="0.35">
      <c r="B55" t="s">
        <v>290</v>
      </c>
    </row>
    <row r="57" spans="2:2" x14ac:dyDescent="0.35">
      <c r="B57" t="e" cm="1">
        <f t="array" ref="B57">- Report/spec templates</f>
        <v>#NAME?</v>
      </c>
    </row>
    <row r="58" spans="2:2" x14ac:dyDescent="0.35">
      <c r="B58" t="s">
        <v>291</v>
      </c>
    </row>
    <row r="59" spans="2:2" x14ac:dyDescent="0.35">
      <c r="B59" t="s">
        <v>292</v>
      </c>
    </row>
    <row r="60" spans="2:2" x14ac:dyDescent="0.35">
      <c r="B60" t="e" cm="1">
        <f t="array" ref="B60">- Rare edge-case appendices</f>
        <v>#NAME?</v>
      </c>
    </row>
    <row r="62" spans="2:2" x14ac:dyDescent="0.35">
      <c r="B62" t="s">
        <v>293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8010BB-0FA9-4444-A16C-B3D92C19ECBA}">
  <dimension ref="A2:B223"/>
  <sheetViews>
    <sheetView topLeftCell="A88" workbookViewId="0">
      <selection activeCell="B160" sqref="B160"/>
    </sheetView>
  </sheetViews>
  <sheetFormatPr defaultRowHeight="18.5" x14ac:dyDescent="0.45"/>
  <cols>
    <col min="1" max="1" width="8.7265625" style="13"/>
    <col min="2" max="2" width="156.26953125" style="11" customWidth="1"/>
  </cols>
  <sheetData>
    <row r="2" spans="1:2" x14ac:dyDescent="0.45">
      <c r="A2" s="13">
        <v>1</v>
      </c>
      <c r="B2" s="12" t="s">
        <v>97</v>
      </c>
    </row>
    <row r="3" spans="1:2" x14ac:dyDescent="0.45">
      <c r="B3" s="11" t="s">
        <v>98</v>
      </c>
    </row>
    <row r="5" spans="1:2" x14ac:dyDescent="0.45">
      <c r="B5" s="11" t="s">
        <v>99</v>
      </c>
    </row>
    <row r="7" spans="1:2" x14ac:dyDescent="0.45">
      <c r="B7" s="11" t="s">
        <v>100</v>
      </c>
    </row>
    <row r="9" spans="1:2" x14ac:dyDescent="0.45">
      <c r="B9" s="11" t="s">
        <v>101</v>
      </c>
    </row>
    <row r="10" spans="1:2" x14ac:dyDescent="0.45">
      <c r="B10" s="11" t="s">
        <v>102</v>
      </c>
    </row>
    <row r="11" spans="1:2" x14ac:dyDescent="0.45">
      <c r="B11" s="11" t="s">
        <v>103</v>
      </c>
    </row>
    <row r="12" spans="1:2" x14ac:dyDescent="0.45">
      <c r="B12" s="11" t="s">
        <v>104</v>
      </c>
    </row>
    <row r="14" spans="1:2" x14ac:dyDescent="0.45">
      <c r="B14" s="11" t="s">
        <v>105</v>
      </c>
    </row>
    <row r="16" spans="1:2" x14ac:dyDescent="0.45">
      <c r="B16" s="11" t="s">
        <v>106</v>
      </c>
    </row>
    <row r="18" spans="2:2" x14ac:dyDescent="0.45">
      <c r="B18" s="11" t="s">
        <v>107</v>
      </c>
    </row>
    <row r="20" spans="2:2" ht="30" x14ac:dyDescent="0.45">
      <c r="B20" s="11" t="s">
        <v>108</v>
      </c>
    </row>
    <row r="22" spans="2:2" x14ac:dyDescent="0.45">
      <c r="B22" s="11" t="s">
        <v>109</v>
      </c>
    </row>
    <row r="24" spans="2:2" x14ac:dyDescent="0.45">
      <c r="B24" s="11" t="s">
        <v>110</v>
      </c>
    </row>
    <row r="25" spans="2:2" x14ac:dyDescent="0.45">
      <c r="B25" s="11" t="s">
        <v>106</v>
      </c>
    </row>
    <row r="26" spans="2:2" x14ac:dyDescent="0.45">
      <c r="B26" s="11" t="s">
        <v>111</v>
      </c>
    </row>
    <row r="27" spans="2:2" x14ac:dyDescent="0.45">
      <c r="B27" s="11" t="s">
        <v>112</v>
      </c>
    </row>
    <row r="28" spans="2:2" x14ac:dyDescent="0.45">
      <c r="B28" s="11" t="s">
        <v>106</v>
      </c>
    </row>
    <row r="30" spans="2:2" x14ac:dyDescent="0.45">
      <c r="B30" s="11" t="s">
        <v>113</v>
      </c>
    </row>
    <row r="31" spans="2:2" x14ac:dyDescent="0.45">
      <c r="B31" s="11" t="s">
        <v>114</v>
      </c>
    </row>
    <row r="33" spans="2:2" x14ac:dyDescent="0.45">
      <c r="B33" s="11" t="s">
        <v>115</v>
      </c>
    </row>
    <row r="35" spans="2:2" x14ac:dyDescent="0.45">
      <c r="B35" s="11" t="s">
        <v>116</v>
      </c>
    </row>
    <row r="36" spans="2:2" x14ac:dyDescent="0.45">
      <c r="B36" s="11" t="s">
        <v>117</v>
      </c>
    </row>
    <row r="37" spans="2:2" x14ac:dyDescent="0.45">
      <c r="B37" s="11" t="s">
        <v>118</v>
      </c>
    </row>
    <row r="38" spans="2:2" x14ac:dyDescent="0.45">
      <c r="B38" s="11" t="s">
        <v>119</v>
      </c>
    </row>
    <row r="39" spans="2:2" x14ac:dyDescent="0.45">
      <c r="B39" s="11" t="s">
        <v>120</v>
      </c>
    </row>
    <row r="41" spans="2:2" x14ac:dyDescent="0.45">
      <c r="B41" s="11" t="s">
        <v>121</v>
      </c>
    </row>
    <row r="43" spans="2:2" x14ac:dyDescent="0.45">
      <c r="B43" s="11" t="s">
        <v>106</v>
      </c>
    </row>
    <row r="45" spans="2:2" x14ac:dyDescent="0.45">
      <c r="B45" s="11" t="s">
        <v>122</v>
      </c>
    </row>
    <row r="47" spans="2:2" x14ac:dyDescent="0.45">
      <c r="B47" s="11" t="s">
        <v>123</v>
      </c>
    </row>
    <row r="48" spans="2:2" x14ac:dyDescent="0.45">
      <c r="B48" s="11" t="s">
        <v>124</v>
      </c>
    </row>
    <row r="49" spans="2:2" x14ac:dyDescent="0.45">
      <c r="B49" s="11" t="s">
        <v>125</v>
      </c>
    </row>
    <row r="50" spans="2:2" x14ac:dyDescent="0.45">
      <c r="B50" s="11" t="s">
        <v>126</v>
      </c>
    </row>
    <row r="51" spans="2:2" x14ac:dyDescent="0.45">
      <c r="B51" s="11" t="s">
        <v>127</v>
      </c>
    </row>
    <row r="52" spans="2:2" x14ac:dyDescent="0.45">
      <c r="B52" s="11" t="s">
        <v>128</v>
      </c>
    </row>
    <row r="54" spans="2:2" x14ac:dyDescent="0.45">
      <c r="B54" s="11" t="s">
        <v>129</v>
      </c>
    </row>
    <row r="56" spans="2:2" x14ac:dyDescent="0.45">
      <c r="B56" s="11" t="s">
        <v>106</v>
      </c>
    </row>
    <row r="58" spans="2:2" x14ac:dyDescent="0.45">
      <c r="B58" s="11" t="s">
        <v>130</v>
      </c>
    </row>
    <row r="60" spans="2:2" x14ac:dyDescent="0.45">
      <c r="B60" s="11" t="s">
        <v>131</v>
      </c>
    </row>
    <row r="61" spans="2:2" x14ac:dyDescent="0.45">
      <c r="B61" s="11" t="s">
        <v>132</v>
      </c>
    </row>
    <row r="63" spans="2:2" ht="30" x14ac:dyDescent="0.45">
      <c r="B63" s="11" t="s">
        <v>133</v>
      </c>
    </row>
    <row r="65" spans="1:2" x14ac:dyDescent="0.45">
      <c r="A65" s="13">
        <v>2</v>
      </c>
      <c r="B65" s="12" t="s">
        <v>134</v>
      </c>
    </row>
    <row r="66" spans="1:2" x14ac:dyDescent="0.45">
      <c r="B66" s="11" t="s">
        <v>135</v>
      </c>
    </row>
    <row r="68" spans="1:2" x14ac:dyDescent="0.45">
      <c r="B68" s="11" t="s">
        <v>136</v>
      </c>
    </row>
    <row r="70" spans="1:2" x14ac:dyDescent="0.45">
      <c r="B70" s="11" t="s">
        <v>137</v>
      </c>
    </row>
    <row r="71" spans="1:2" x14ac:dyDescent="0.45">
      <c r="B71" s="11" t="s">
        <v>138</v>
      </c>
    </row>
    <row r="72" spans="1:2" x14ac:dyDescent="0.45">
      <c r="B72" s="11" t="s">
        <v>139</v>
      </c>
    </row>
    <row r="73" spans="1:2" ht="30" x14ac:dyDescent="0.45">
      <c r="B73" s="11" t="s">
        <v>140</v>
      </c>
    </row>
    <row r="74" spans="1:2" x14ac:dyDescent="0.45">
      <c r="B74" s="11" t="s">
        <v>141</v>
      </c>
    </row>
    <row r="76" spans="1:2" x14ac:dyDescent="0.45">
      <c r="B76" s="11" t="s">
        <v>142</v>
      </c>
    </row>
    <row r="78" spans="1:2" x14ac:dyDescent="0.45">
      <c r="B78" s="11" t="s">
        <v>143</v>
      </c>
    </row>
    <row r="80" spans="1:2" x14ac:dyDescent="0.45">
      <c r="B80" s="11" t="s">
        <v>144</v>
      </c>
    </row>
    <row r="81" spans="2:2" x14ac:dyDescent="0.45">
      <c r="B81" s="11" t="s">
        <v>145</v>
      </c>
    </row>
    <row r="82" spans="2:2" x14ac:dyDescent="0.45">
      <c r="B82" s="11" t="s">
        <v>146</v>
      </c>
    </row>
    <row r="83" spans="2:2" x14ac:dyDescent="0.45">
      <c r="B83" s="11" t="s">
        <v>147</v>
      </c>
    </row>
    <row r="84" spans="2:2" x14ac:dyDescent="0.45">
      <c r="B84" s="11" t="s">
        <v>148</v>
      </c>
    </row>
    <row r="86" spans="2:2" ht="30" x14ac:dyDescent="0.45">
      <c r="B86" s="11" t="s">
        <v>149</v>
      </c>
    </row>
    <row r="88" spans="2:2" x14ac:dyDescent="0.45">
      <c r="B88" s="11" t="s">
        <v>150</v>
      </c>
    </row>
    <row r="90" spans="2:2" x14ac:dyDescent="0.45">
      <c r="B90" s="11" t="s">
        <v>151</v>
      </c>
    </row>
    <row r="92" spans="2:2" x14ac:dyDescent="0.45">
      <c r="B92" s="11" t="e" cm="1">
        <f t="array" ref="B92">- Two-phase workflow summary</f>
        <v>#NAME?</v>
      </c>
    </row>
    <row r="93" spans="2:2" x14ac:dyDescent="0.45">
      <c r="B93" s="11" t="s">
        <v>152</v>
      </c>
    </row>
    <row r="94" spans="2:2" x14ac:dyDescent="0.45">
      <c r="B94" s="11" t="s">
        <v>153</v>
      </c>
    </row>
    <row r="96" spans="2:2" x14ac:dyDescent="0.45">
      <c r="B96" s="11" t="s">
        <v>154</v>
      </c>
    </row>
    <row r="98" spans="2:2" ht="24" customHeight="1" x14ac:dyDescent="0.45">
      <c r="B98" s="11" t="s">
        <v>155</v>
      </c>
    </row>
    <row r="99" spans="2:2" x14ac:dyDescent="0.45">
      <c r="B99" s="11" t="s">
        <v>156</v>
      </c>
    </row>
    <row r="100" spans="2:2" x14ac:dyDescent="0.45">
      <c r="B100" s="11" t="s">
        <v>157</v>
      </c>
    </row>
    <row r="102" spans="2:2" x14ac:dyDescent="0.45">
      <c r="B102" s="11" t="s">
        <v>158</v>
      </c>
    </row>
    <row r="104" spans="2:2" x14ac:dyDescent="0.45">
      <c r="B104" s="11" t="s">
        <v>159</v>
      </c>
    </row>
    <row r="106" spans="2:2" x14ac:dyDescent="0.45">
      <c r="B106" s="11" t="s">
        <v>160</v>
      </c>
    </row>
    <row r="107" spans="2:2" x14ac:dyDescent="0.45">
      <c r="B107" s="11" t="s">
        <v>161</v>
      </c>
    </row>
    <row r="108" spans="2:2" x14ac:dyDescent="0.45">
      <c r="B108" s="11" t="s">
        <v>162</v>
      </c>
    </row>
    <row r="109" spans="2:2" x14ac:dyDescent="0.45">
      <c r="B109" s="11" t="s">
        <v>163</v>
      </c>
    </row>
    <row r="110" spans="2:2" x14ac:dyDescent="0.45">
      <c r="B110" s="11" t="s">
        <v>164</v>
      </c>
    </row>
    <row r="111" spans="2:2" x14ac:dyDescent="0.45">
      <c r="B111" s="11" t="s">
        <v>165</v>
      </c>
    </row>
    <row r="113" spans="2:2" x14ac:dyDescent="0.45">
      <c r="B113" s="11" t="s">
        <v>166</v>
      </c>
    </row>
    <row r="115" spans="2:2" x14ac:dyDescent="0.45">
      <c r="B115" s="11" t="s">
        <v>167</v>
      </c>
    </row>
    <row r="117" spans="2:2" x14ac:dyDescent="0.45">
      <c r="B117" s="11" t="s">
        <v>168</v>
      </c>
    </row>
    <row r="118" spans="2:2" x14ac:dyDescent="0.45">
      <c r="B118" s="11" t="s">
        <v>169</v>
      </c>
    </row>
    <row r="119" spans="2:2" x14ac:dyDescent="0.45">
      <c r="B119" s="11" t="s">
        <v>170</v>
      </c>
    </row>
    <row r="121" spans="2:2" x14ac:dyDescent="0.45">
      <c r="B121" s="11" t="s">
        <v>171</v>
      </c>
    </row>
    <row r="123" spans="2:2" x14ac:dyDescent="0.45">
      <c r="B123" s="11" t="s">
        <v>172</v>
      </c>
    </row>
    <row r="125" spans="2:2" x14ac:dyDescent="0.45">
      <c r="B125" s="11" t="s">
        <v>173</v>
      </c>
    </row>
    <row r="126" spans="2:2" x14ac:dyDescent="0.45">
      <c r="B126" s="11" t="s">
        <v>174</v>
      </c>
    </row>
    <row r="128" spans="2:2" x14ac:dyDescent="0.45">
      <c r="B128" s="11" t="s">
        <v>175</v>
      </c>
    </row>
    <row r="130" spans="1:2" x14ac:dyDescent="0.45">
      <c r="A130" s="15">
        <v>3</v>
      </c>
      <c r="B130" s="14" t="s">
        <v>176</v>
      </c>
    </row>
    <row r="131" spans="1:2" x14ac:dyDescent="0.45">
      <c r="B131" s="11" t="s">
        <v>177</v>
      </c>
    </row>
    <row r="133" spans="1:2" x14ac:dyDescent="0.45">
      <c r="B133" s="11" t="s">
        <v>106</v>
      </c>
    </row>
    <row r="135" spans="1:2" x14ac:dyDescent="0.45">
      <c r="B135" s="11" t="s">
        <v>178</v>
      </c>
    </row>
    <row r="137" spans="1:2" x14ac:dyDescent="0.45">
      <c r="B137" s="11" t="s">
        <v>179</v>
      </c>
    </row>
    <row r="138" spans="1:2" ht="61" customHeight="1" x14ac:dyDescent="0.45">
      <c r="B138" s="11" t="s">
        <v>180</v>
      </c>
    </row>
    <row r="139" spans="1:2" ht="42" customHeight="1" x14ac:dyDescent="0.45">
      <c r="B139" s="11" t="s">
        <v>181</v>
      </c>
    </row>
    <row r="140" spans="1:2" ht="41.5" customHeight="1" x14ac:dyDescent="0.45">
      <c r="B140" s="11" t="s">
        <v>182</v>
      </c>
    </row>
    <row r="141" spans="1:2" ht="44.5" customHeight="1" x14ac:dyDescent="0.45">
      <c r="B141" s="11" t="s">
        <v>183</v>
      </c>
    </row>
    <row r="142" spans="1:2" ht="34.5" customHeight="1" x14ac:dyDescent="0.45">
      <c r="B142" s="11" t="s">
        <v>184</v>
      </c>
    </row>
    <row r="143" spans="1:2" ht="37" customHeight="1" x14ac:dyDescent="0.45">
      <c r="B143" s="11" t="s">
        <v>185</v>
      </c>
    </row>
    <row r="145" spans="2:2" x14ac:dyDescent="0.45">
      <c r="B145" s="11" t="s">
        <v>186</v>
      </c>
    </row>
    <row r="147" spans="2:2" x14ac:dyDescent="0.45">
      <c r="B147" s="11" t="s">
        <v>106</v>
      </c>
    </row>
    <row r="149" spans="2:2" x14ac:dyDescent="0.45">
      <c r="B149" s="11" t="s">
        <v>187</v>
      </c>
    </row>
    <row r="151" spans="2:2" x14ac:dyDescent="0.45">
      <c r="B151" s="11" t="s">
        <v>188</v>
      </c>
    </row>
    <row r="153" spans="2:2" x14ac:dyDescent="0.45">
      <c r="B153" s="11" t="s">
        <v>179</v>
      </c>
    </row>
    <row r="154" spans="2:2" x14ac:dyDescent="0.45">
      <c r="B154" s="11" t="s">
        <v>180</v>
      </c>
    </row>
    <row r="155" spans="2:2" x14ac:dyDescent="0.45">
      <c r="B155" s="11" t="s">
        <v>189</v>
      </c>
    </row>
    <row r="156" spans="2:2" x14ac:dyDescent="0.45">
      <c r="B156" s="11" t="s">
        <v>190</v>
      </c>
    </row>
    <row r="157" spans="2:2" ht="30" x14ac:dyDescent="0.45">
      <c r="B157" s="11" t="s">
        <v>191</v>
      </c>
    </row>
    <row r="158" spans="2:2" x14ac:dyDescent="0.45">
      <c r="B158" s="11" t="s">
        <v>192</v>
      </c>
    </row>
    <row r="159" spans="2:2" x14ac:dyDescent="0.45">
      <c r="B159" s="11" t="s">
        <v>193</v>
      </c>
    </row>
    <row r="161" spans="2:2" x14ac:dyDescent="0.45">
      <c r="B161" s="11" t="s">
        <v>194</v>
      </c>
    </row>
    <row r="163" spans="2:2" x14ac:dyDescent="0.45">
      <c r="B163" s="11" t="s">
        <v>179</v>
      </c>
    </row>
    <row r="164" spans="2:2" x14ac:dyDescent="0.45">
      <c r="B164" s="11" t="s">
        <v>180</v>
      </c>
    </row>
    <row r="165" spans="2:2" ht="30" x14ac:dyDescent="0.45">
      <c r="B165" s="11" t="s">
        <v>195</v>
      </c>
    </row>
    <row r="166" spans="2:2" ht="30" x14ac:dyDescent="0.45">
      <c r="B166" s="11" t="s">
        <v>196</v>
      </c>
    </row>
    <row r="168" spans="2:2" x14ac:dyDescent="0.45">
      <c r="B168" s="11" t="s">
        <v>197</v>
      </c>
    </row>
    <row r="170" spans="2:2" x14ac:dyDescent="0.45">
      <c r="B170" s="11" t="s">
        <v>198</v>
      </c>
    </row>
    <row r="172" spans="2:2" x14ac:dyDescent="0.45">
      <c r="B172" s="11" t="s">
        <v>179</v>
      </c>
    </row>
    <row r="173" spans="2:2" x14ac:dyDescent="0.45">
      <c r="B173" s="11" t="s">
        <v>180</v>
      </c>
    </row>
    <row r="174" spans="2:2" x14ac:dyDescent="0.45">
      <c r="B174" s="11" t="s">
        <v>199</v>
      </c>
    </row>
    <row r="176" spans="2:2" x14ac:dyDescent="0.45">
      <c r="B176" s="11" t="s">
        <v>106</v>
      </c>
    </row>
    <row r="178" spans="2:2" x14ac:dyDescent="0.45">
      <c r="B178" s="11" t="s">
        <v>200</v>
      </c>
    </row>
    <row r="180" spans="2:2" x14ac:dyDescent="0.45">
      <c r="B180" s="11" t="s">
        <v>201</v>
      </c>
    </row>
    <row r="181" spans="2:2" x14ac:dyDescent="0.45">
      <c r="B181" s="11" t="s">
        <v>202</v>
      </c>
    </row>
    <row r="182" spans="2:2" x14ac:dyDescent="0.45">
      <c r="B182" s="11" t="s">
        <v>203</v>
      </c>
    </row>
    <row r="183" spans="2:2" x14ac:dyDescent="0.45">
      <c r="B183" s="11" t="s">
        <v>204</v>
      </c>
    </row>
    <row r="184" spans="2:2" x14ac:dyDescent="0.45">
      <c r="B184" s="11" t="s">
        <v>205</v>
      </c>
    </row>
    <row r="185" spans="2:2" x14ac:dyDescent="0.45">
      <c r="B185" s="11" t="s">
        <v>206</v>
      </c>
    </row>
    <row r="186" spans="2:2" x14ac:dyDescent="0.45">
      <c r="B186" s="11" t="s">
        <v>207</v>
      </c>
    </row>
    <row r="187" spans="2:2" x14ac:dyDescent="0.45">
      <c r="B187" s="11" t="s">
        <v>208</v>
      </c>
    </row>
    <row r="188" spans="2:2" x14ac:dyDescent="0.45">
      <c r="B188" s="11" t="s">
        <v>209</v>
      </c>
    </row>
    <row r="189" spans="2:2" x14ac:dyDescent="0.45">
      <c r="B189" s="11" t="s">
        <v>210</v>
      </c>
    </row>
    <row r="190" spans="2:2" x14ac:dyDescent="0.45">
      <c r="B190" s="11" t="s">
        <v>211</v>
      </c>
    </row>
    <row r="191" spans="2:2" x14ac:dyDescent="0.45">
      <c r="B191" s="11" t="s">
        <v>212</v>
      </c>
    </row>
    <row r="192" spans="2:2" x14ac:dyDescent="0.45">
      <c r="B192" s="11" t="s">
        <v>210</v>
      </c>
    </row>
    <row r="193" spans="2:2" x14ac:dyDescent="0.45">
      <c r="B193" s="11" t="s">
        <v>213</v>
      </c>
    </row>
    <row r="194" spans="2:2" x14ac:dyDescent="0.45">
      <c r="B194" s="11" t="s">
        <v>214</v>
      </c>
    </row>
    <row r="195" spans="2:2" x14ac:dyDescent="0.45">
      <c r="B195" s="11" t="s">
        <v>215</v>
      </c>
    </row>
    <row r="196" spans="2:2" x14ac:dyDescent="0.45">
      <c r="B196" s="11" t="s">
        <v>216</v>
      </c>
    </row>
    <row r="197" spans="2:2" x14ac:dyDescent="0.45">
      <c r="B197" s="11" t="s">
        <v>217</v>
      </c>
    </row>
    <row r="198" spans="2:2" x14ac:dyDescent="0.45">
      <c r="B198" s="11" t="s">
        <v>210</v>
      </c>
    </row>
    <row r="199" spans="2:2" x14ac:dyDescent="0.45">
      <c r="B199" s="11" t="s">
        <v>114</v>
      </c>
    </row>
    <row r="201" spans="2:2" x14ac:dyDescent="0.45">
      <c r="B201" s="11" t="s">
        <v>218</v>
      </c>
    </row>
    <row r="203" spans="2:2" x14ac:dyDescent="0.45">
      <c r="B203" s="11" t="s">
        <v>106</v>
      </c>
    </row>
    <row r="205" spans="2:2" x14ac:dyDescent="0.45">
      <c r="B205" s="11" t="s">
        <v>219</v>
      </c>
    </row>
    <row r="207" spans="2:2" x14ac:dyDescent="0.45">
      <c r="B207" s="11" t="s">
        <v>220</v>
      </c>
    </row>
    <row r="208" spans="2:2" x14ac:dyDescent="0.45">
      <c r="B208" s="11" t="s">
        <v>221</v>
      </c>
    </row>
    <row r="209" spans="2:2" x14ac:dyDescent="0.45">
      <c r="B209" s="11" t="s">
        <v>222</v>
      </c>
    </row>
    <row r="210" spans="2:2" x14ac:dyDescent="0.45">
      <c r="B210" s="11" t="s">
        <v>223</v>
      </c>
    </row>
    <row r="211" spans="2:2" x14ac:dyDescent="0.45">
      <c r="B211" s="11" t="s">
        <v>224</v>
      </c>
    </row>
    <row r="212" spans="2:2" x14ac:dyDescent="0.45">
      <c r="B212" s="11" t="s">
        <v>225</v>
      </c>
    </row>
    <row r="213" spans="2:2" x14ac:dyDescent="0.45">
      <c r="B213" s="11" t="s">
        <v>226</v>
      </c>
    </row>
    <row r="215" spans="2:2" x14ac:dyDescent="0.45">
      <c r="B215" s="11" t="s">
        <v>106</v>
      </c>
    </row>
    <row r="217" spans="2:2" x14ac:dyDescent="0.45">
      <c r="B217" s="11" t="s">
        <v>227</v>
      </c>
    </row>
    <row r="219" spans="2:2" x14ac:dyDescent="0.45">
      <c r="B219" s="11" t="s">
        <v>228</v>
      </c>
    </row>
    <row r="220" spans="2:2" x14ac:dyDescent="0.45">
      <c r="B220" s="11" t="s">
        <v>229</v>
      </c>
    </row>
    <row r="221" spans="2:2" x14ac:dyDescent="0.45">
      <c r="B221" s="11" t="s">
        <v>230</v>
      </c>
    </row>
    <row r="223" spans="2:2" x14ac:dyDescent="0.45">
      <c r="B223" s="11" t="s">
        <v>231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Files used in workflow</vt:lpstr>
      <vt:lpstr>Skill.mdVsAgent.md+Reference.md</vt:lpstr>
      <vt:lpstr>Q&amp;A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Mangesh Umbrajkar</dc:creator>
  <cp:lastModifiedBy>Mangesh Umbrajkar</cp:lastModifiedBy>
  <dcterms:created xsi:type="dcterms:W3CDTF">2015-06-05T18:17:20Z</dcterms:created>
  <dcterms:modified xsi:type="dcterms:W3CDTF">2026-06-03T05:55:11Z</dcterms:modified>
</cp:coreProperties>
</file>